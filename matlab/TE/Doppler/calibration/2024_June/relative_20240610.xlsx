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kutokyoacjp-my.sharepoint.com/personal/tanabe_edu_k_u-tokyo_ac_jp/Documents/ST40_Doppler_2019July/2024/June/"/>
    </mc:Choice>
  </mc:AlternateContent>
  <xr:revisionPtr revIDLastSave="211" documentId="8_{5607733E-DC64-42D7-B7EE-C81BC65EAE11}" xr6:coauthVersionLast="47" xr6:coauthVersionMax="47" xr10:uidLastSave="{890AE0DA-9C49-4AEC-A106-ACD0951A41E1}"/>
  <bookViews>
    <workbookView xWindow="35880" yWindow="-120" windowWidth="29040" windowHeight="15720" xr2:uid="{4E06EF20-A1BD-4EED-8B10-39230F87A39F}"/>
  </bookViews>
  <sheets>
    <sheet name="MT_rel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1" i="1" l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46" i="1"/>
  <c r="AN46" i="1"/>
  <c r="AO4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O51" i="1"/>
  <c r="AM52" i="1"/>
  <c r="AO52" i="1"/>
  <c r="AM53" i="1"/>
  <c r="AO53" i="1"/>
  <c r="AM54" i="1"/>
  <c r="AO54" i="1"/>
  <c r="AM55" i="1"/>
  <c r="AO55" i="1"/>
  <c r="AM56" i="1"/>
  <c r="AO56" i="1"/>
  <c r="AM57" i="1"/>
  <c r="AO57" i="1"/>
  <c r="AM58" i="1"/>
  <c r="AO58" i="1"/>
  <c r="AM59" i="1"/>
  <c r="AO59" i="1"/>
  <c r="AM60" i="1"/>
  <c r="AO60" i="1"/>
  <c r="AM61" i="1"/>
  <c r="AO61" i="1"/>
  <c r="AM62" i="1"/>
  <c r="AO62" i="1"/>
  <c r="AM63" i="1"/>
  <c r="AO63" i="1"/>
  <c r="AM64" i="1"/>
  <c r="AO64" i="1"/>
  <c r="AM65" i="1"/>
  <c r="AO65" i="1"/>
  <c r="AM66" i="1"/>
  <c r="AO66" i="1"/>
  <c r="AM67" i="1"/>
  <c r="AO67" i="1"/>
  <c r="AM68" i="1"/>
  <c r="AO68" i="1"/>
  <c r="AM69" i="1"/>
  <c r="AO69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N38" i="1"/>
  <c r="AO38" i="1"/>
  <c r="AJ38" i="1"/>
  <c r="AK38" i="1"/>
  <c r="AM38" i="1"/>
  <c r="AI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F38" i="1"/>
  <c r="AG38" i="1"/>
  <c r="AE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B38" i="1"/>
  <c r="AC38" i="1"/>
  <c r="AA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X38" i="1"/>
  <c r="Y38" i="1"/>
  <c r="W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T38" i="1"/>
  <c r="U38" i="1"/>
  <c r="S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P38" i="1"/>
  <c r="Q38" i="1"/>
  <c r="O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L38" i="1"/>
  <c r="M38" i="1"/>
  <c r="K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H38" i="1"/>
  <c r="I38" i="1"/>
  <c r="G38" i="1"/>
  <c r="C36" i="1"/>
  <c r="D36" i="1"/>
  <c r="B36" i="1"/>
</calcChain>
</file>

<file path=xl/sharedStrings.xml><?xml version="1.0" encoding="utf-8"?>
<sst xmlns="http://schemas.openxmlformats.org/spreadsheetml/2006/main" count="87" uniqueCount="19">
  <si>
    <t>CH</t>
    <phoneticPr fontId="1"/>
  </si>
  <si>
    <t>center</t>
    <phoneticPr fontId="1"/>
  </si>
  <si>
    <t>left</t>
    <phoneticPr fontId="1"/>
  </si>
  <si>
    <t>middle</t>
    <phoneticPr fontId="1"/>
  </si>
  <si>
    <t>right</t>
    <phoneticPr fontId="1"/>
  </si>
  <si>
    <t>coeff</t>
    <phoneticPr fontId="1"/>
  </si>
  <si>
    <t>peak</t>
    <phoneticPr fontId="1"/>
  </si>
  <si>
    <t>± 200 pixel total (LED, separate)</t>
    <phoneticPr fontId="1"/>
  </si>
  <si>
    <t>peak (LED, separate)</t>
    <phoneticPr fontId="1"/>
  </si>
  <si>
    <t>simulutaneous/moment</t>
    <phoneticPr fontId="1"/>
  </si>
  <si>
    <r>
      <t>simulutaneous/</t>
    </r>
    <r>
      <rPr>
        <b/>
        <sz val="11"/>
        <color theme="1"/>
        <rFont val="游ゴシック"/>
        <family val="3"/>
        <charset val="128"/>
        <scheme val="minor"/>
      </rPr>
      <t>peak</t>
    </r>
    <r>
      <rPr>
        <sz val="11"/>
        <color theme="1"/>
        <rFont val="游ゴシック"/>
        <family val="2"/>
        <charset val="128"/>
        <scheme val="minor"/>
      </rPr>
      <t xml:space="preserve"> display</t>
    </r>
    <phoneticPr fontId="1"/>
  </si>
  <si>
    <r>
      <t>simulutaneous</t>
    </r>
    <r>
      <rPr>
        <b/>
        <sz val="11"/>
        <color theme="1"/>
        <rFont val="游ゴシック"/>
        <family val="3"/>
        <charset val="128"/>
        <scheme val="minor"/>
      </rPr>
      <t>/moment</t>
    </r>
    <r>
      <rPr>
        <sz val="11"/>
        <color theme="1"/>
        <rFont val="游ゴシック"/>
        <family val="2"/>
        <charset val="128"/>
        <scheme val="minor"/>
      </rPr>
      <t xml:space="preserve">  display</t>
    </r>
    <phoneticPr fontId="1"/>
  </si>
  <si>
    <t>width=100</t>
    <phoneticPr fontId="1"/>
  </si>
  <si>
    <t>width=50</t>
    <phoneticPr fontId="1"/>
  </si>
  <si>
    <t>width=150</t>
    <phoneticPr fontId="1"/>
  </si>
  <si>
    <r>
      <t>simulutaneous</t>
    </r>
    <r>
      <rPr>
        <b/>
        <sz val="11"/>
        <color theme="1"/>
        <rFont val="游ゴシック"/>
        <family val="3"/>
        <charset val="128"/>
        <scheme val="minor"/>
      </rPr>
      <t>/moment</t>
    </r>
    <r>
      <rPr>
        <sz val="11"/>
        <color theme="1"/>
        <rFont val="游ゴシック"/>
        <family val="2"/>
        <charset val="128"/>
        <scheme val="minor"/>
      </rPr>
      <t xml:space="preserve"> lamp</t>
    </r>
    <phoneticPr fontId="1"/>
  </si>
  <si>
    <r>
      <t>simulutaneous</t>
    </r>
    <r>
      <rPr>
        <b/>
        <sz val="11"/>
        <color rgb="FFFF0000"/>
        <rFont val="游ゴシック"/>
        <family val="3"/>
        <charset val="128"/>
        <scheme val="minor"/>
      </rPr>
      <t>/moment</t>
    </r>
    <r>
      <rPr>
        <sz val="11"/>
        <color rgb="FFFF0000"/>
        <rFont val="游ゴシック"/>
        <family val="3"/>
        <charset val="128"/>
        <scheme val="minor"/>
      </rPr>
      <t xml:space="preserve"> lamp</t>
    </r>
    <phoneticPr fontId="1"/>
  </si>
  <si>
    <r>
      <t>simulutaneous</t>
    </r>
    <r>
      <rPr>
        <b/>
        <sz val="11"/>
        <color rgb="FFFF0000"/>
        <rFont val="游ゴシック"/>
        <family val="3"/>
        <charset val="128"/>
        <scheme val="minor"/>
      </rPr>
      <t>/moment</t>
    </r>
    <r>
      <rPr>
        <sz val="11"/>
        <color rgb="FFFF0000"/>
        <rFont val="游ゴシック"/>
        <family val="3"/>
        <charset val="128"/>
        <scheme val="minor"/>
      </rPr>
      <t xml:space="preserve">  display</t>
    </r>
    <phoneticPr fontId="1"/>
  </si>
  <si>
    <t>relative coeff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</si>
</sst>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179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435879</xdr:colOff>
      <xdr:row>35</xdr:row>
      <xdr:rowOff>221192</xdr:rowOff>
    </xdr:from>
    <xdr:to>
      <xdr:col>4</xdr:col>
      <xdr:colOff>208489</xdr:colOff>
      <xdr:row>48</xdr:row>
      <xdr:rowOff>201295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5B0667C-35FE-96B6-6C2B-B6FB068B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879" y="8137525"/>
          <a:ext cx="2397277" cy="3006936"/>
        </a:xfrm>
        <a:prstGeom prst="rect">
          <a:avLst/>
        </a:prstGeom>
      </xdr:spPr>
    </xdr:pic>
    <xdr:clientData/>
  </xdr:twoCellAnchor>
  <xdr:twoCellAnchor editAs="oneCell">
    <xdr:from>
      <xdr:col>38</xdr:col>
      <xdr:colOff>30163</xdr:colOff>
      <xdr:row>71</xdr:row>
      <xdr:rowOff>77787</xdr:rowOff>
    </xdr:from>
    <xdr:to>
      <xdr:col>41</xdr:col>
      <xdr:colOff>95250</xdr:colOff>
      <xdr:row>78</xdr:row>
      <xdr:rowOff>37008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92F9CC0-4927-F533-57E8-727C4828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14538" y="16984662"/>
          <a:ext cx="2351087" cy="1626096"/>
        </a:xfrm>
        <a:prstGeom prst="rect">
          <a:avLst/>
        </a:prstGeom>
      </xdr:spPr>
    </xdr:pic>
    <xdr:clientData/>
  </xdr:twoCellAnchor>
  <xdr:twoCellAnchor editAs="oneCell">
    <xdr:from>
      <xdr:col>30</xdr:col>
      <xdr:colOff>30308</xdr:colOff>
      <xdr:row>70</xdr:row>
      <xdr:rowOff>220808</xdr:rowOff>
    </xdr:from>
    <xdr:to>
      <xdr:col>32</xdr:col>
      <xdr:colOff>733763</xdr:colOff>
      <xdr:row>77</xdr:row>
      <xdr:rowOff>65521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5E55EDF-70D8-D5E7-7EA1-9F5367963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71899" y="15980353"/>
          <a:ext cx="2195994" cy="1417493"/>
        </a:xfrm>
        <a:prstGeom prst="rect">
          <a:avLst/>
        </a:prstGeom>
      </xdr:spPr>
    </xdr:pic>
    <xdr:clientData/>
  </xdr:twoCellAnchor>
  <xdr:twoCellAnchor editAs="oneCell">
    <xdr:from>
      <xdr:col>34</xdr:col>
      <xdr:colOff>50526</xdr:colOff>
      <xdr:row>70</xdr:row>
      <xdr:rowOff>190500</xdr:rowOff>
    </xdr:from>
    <xdr:to>
      <xdr:col>37</xdr:col>
      <xdr:colOff>31461</xdr:colOff>
      <xdr:row>77</xdr:row>
      <xdr:rowOff>93316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DA1EBA4-024C-DBD8-DFFF-E6C22B6D8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70844" y="15950045"/>
          <a:ext cx="2218156" cy="1478771"/>
        </a:xfrm>
        <a:prstGeom prst="rect">
          <a:avLst/>
        </a:prstGeom>
      </xdr:spPr>
    </xdr:pic>
    <xdr:clientData/>
  </xdr:twoCellAnchor>
  <xdr:twoCellAnchor editAs="oneCell">
    <xdr:from>
      <xdr:col>21</xdr:col>
      <xdr:colOff>636361</xdr:colOff>
      <xdr:row>70</xdr:row>
      <xdr:rowOff>220889</xdr:rowOff>
    </xdr:from>
    <xdr:to>
      <xdr:col>25</xdr:col>
      <xdr:colOff>40821</xdr:colOff>
      <xdr:row>77</xdr:row>
      <xdr:rowOff>104554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B3EAFC8-1A4C-6CE7-C172-567827FE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72897" y="16413389"/>
          <a:ext cx="2261960" cy="1506090"/>
        </a:xfrm>
        <a:prstGeom prst="rect">
          <a:avLst/>
        </a:prstGeom>
      </xdr:spPr>
    </xdr:pic>
    <xdr:clientData/>
  </xdr:twoCellAnchor>
  <xdr:twoCellAnchor editAs="oneCell">
    <xdr:from>
      <xdr:col>26</xdr:col>
      <xdr:colOff>9211</xdr:colOff>
      <xdr:row>71</xdr:row>
      <xdr:rowOff>10434</xdr:rowOff>
    </xdr:from>
    <xdr:to>
      <xdr:col>29</xdr:col>
      <xdr:colOff>0</xdr:colOff>
      <xdr:row>77</xdr:row>
      <xdr:rowOff>82846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49439B4-290C-DF8E-F20B-6F0D5F69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56390" y="16434255"/>
          <a:ext cx="2195146" cy="1463516"/>
        </a:xfrm>
        <a:prstGeom prst="rect">
          <a:avLst/>
        </a:prstGeom>
      </xdr:spPr>
    </xdr:pic>
    <xdr:clientData/>
  </xdr:twoCellAnchor>
  <xdr:twoCellAnchor editAs="oneCell">
    <xdr:from>
      <xdr:col>18</xdr:col>
      <xdr:colOff>10432</xdr:colOff>
      <xdr:row>70</xdr:row>
      <xdr:rowOff>220890</xdr:rowOff>
    </xdr:from>
    <xdr:to>
      <xdr:col>21</xdr:col>
      <xdr:colOff>30389</xdr:colOff>
      <xdr:row>77</xdr:row>
      <xdr:rowOff>84135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89F8C2A-2C5A-DA09-CCCF-39CFC389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42611" y="16413390"/>
          <a:ext cx="2221139" cy="1479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041F-6A87-40A2-B0BC-26209D3F1DE0}">
  <dimension ref="A1:AO175"/>
  <sheetViews>
    <sheetView tabSelected="1" topLeftCell="G1" zoomScale="70" zoomScaleNormal="70" workbookViewId="0">
      <selection activeCell="AM1" sqref="AM1:AO1"/>
    </sheetView>
  </sheetViews>
  <sheetFormatPr defaultRowHeight="18" x14ac:dyDescent="0.55000000000000004"/>
  <cols>
    <col min="7" max="9" width="9.58203125" customWidth="1"/>
    <col min="11" max="13" width="9.58203125" customWidth="1"/>
    <col min="15" max="17" width="9.75" customWidth="1"/>
    <col min="19" max="21" width="9.58203125" customWidth="1"/>
    <col min="23" max="25" width="9.58203125" customWidth="1"/>
    <col min="27" max="29" width="9.6640625" customWidth="1"/>
    <col min="31" max="41" width="9.9140625" customWidth="1"/>
  </cols>
  <sheetData>
    <row r="1" spans="1:41" x14ac:dyDescent="0.55000000000000004">
      <c r="A1" s="5" t="s">
        <v>1</v>
      </c>
      <c r="B1" s="5"/>
      <c r="C1" s="5"/>
      <c r="D1" s="5"/>
      <c r="G1" s="5" t="s">
        <v>7</v>
      </c>
      <c r="H1" s="5"/>
      <c r="I1" s="5"/>
      <c r="K1" s="7" t="s">
        <v>8</v>
      </c>
      <c r="L1" s="7"/>
      <c r="M1" s="7"/>
      <c r="O1" s="7" t="s">
        <v>10</v>
      </c>
      <c r="P1" s="7"/>
      <c r="Q1" s="7"/>
      <c r="R1" s="1"/>
      <c r="S1" s="8" t="s">
        <v>11</v>
      </c>
      <c r="T1" s="9"/>
      <c r="U1" s="10"/>
      <c r="W1" s="8" t="s">
        <v>11</v>
      </c>
      <c r="X1" s="9"/>
      <c r="Y1" s="10"/>
      <c r="AA1" s="8" t="s">
        <v>11</v>
      </c>
      <c r="AB1" s="9"/>
      <c r="AC1" s="10"/>
      <c r="AE1" s="8" t="s">
        <v>15</v>
      </c>
      <c r="AF1" s="9"/>
      <c r="AG1" s="10"/>
      <c r="AI1" s="18" t="s">
        <v>17</v>
      </c>
      <c r="AJ1" s="11" t="s">
        <v>16</v>
      </c>
      <c r="AK1" s="12"/>
      <c r="AL1" s="13"/>
      <c r="AM1" s="8" t="s">
        <v>15</v>
      </c>
      <c r="AN1" s="9"/>
      <c r="AO1" s="10"/>
    </row>
    <row r="2" spans="1:41" x14ac:dyDescent="0.55000000000000004">
      <c r="A2" s="2" t="s">
        <v>0</v>
      </c>
      <c r="B2" s="2" t="s">
        <v>2</v>
      </c>
      <c r="C2" s="2" t="s">
        <v>3</v>
      </c>
      <c r="D2" s="2" t="s">
        <v>4</v>
      </c>
      <c r="G2" s="2" t="s">
        <v>2</v>
      </c>
      <c r="H2" s="2" t="s">
        <v>3</v>
      </c>
      <c r="I2" s="2" t="s">
        <v>4</v>
      </c>
      <c r="K2" s="2" t="s">
        <v>2</v>
      </c>
      <c r="L2" s="2" t="s">
        <v>3</v>
      </c>
      <c r="M2" s="2" t="s">
        <v>4</v>
      </c>
      <c r="O2" s="2" t="s">
        <v>2</v>
      </c>
      <c r="P2" s="2" t="s">
        <v>3</v>
      </c>
      <c r="Q2" s="2" t="s">
        <v>4</v>
      </c>
      <c r="S2" s="2" t="s">
        <v>2</v>
      </c>
      <c r="T2" s="2" t="s">
        <v>3</v>
      </c>
      <c r="U2" s="2" t="s">
        <v>4</v>
      </c>
      <c r="W2" s="2" t="s">
        <v>2</v>
      </c>
      <c r="X2" s="2" t="s">
        <v>3</v>
      </c>
      <c r="Y2" s="2" t="s">
        <v>4</v>
      </c>
      <c r="AA2" s="2" t="s">
        <v>2</v>
      </c>
      <c r="AB2" s="2" t="s">
        <v>3</v>
      </c>
      <c r="AC2" s="2" t="s">
        <v>4</v>
      </c>
      <c r="AE2" s="2" t="s">
        <v>2</v>
      </c>
      <c r="AF2" s="2" t="s">
        <v>3</v>
      </c>
      <c r="AG2" s="2" t="s">
        <v>4</v>
      </c>
      <c r="AI2" s="14" t="s">
        <v>2</v>
      </c>
      <c r="AJ2" s="14" t="s">
        <v>3</v>
      </c>
      <c r="AK2" s="14" t="s">
        <v>4</v>
      </c>
      <c r="AL2" s="16"/>
      <c r="AM2" s="2" t="s">
        <v>2</v>
      </c>
      <c r="AN2" s="2" t="s">
        <v>3</v>
      </c>
      <c r="AO2" s="2" t="s">
        <v>4</v>
      </c>
    </row>
    <row r="3" spans="1:41" x14ac:dyDescent="0.55000000000000004">
      <c r="A3" s="3">
        <v>1</v>
      </c>
      <c r="B3" s="3">
        <v>249.06800000000001</v>
      </c>
      <c r="C3" s="3">
        <v>530.95000000000005</v>
      </c>
      <c r="D3" s="3">
        <v>813.76499999999999</v>
      </c>
      <c r="G3" s="4">
        <v>74688600</v>
      </c>
      <c r="H3" s="4">
        <v>98906100</v>
      </c>
      <c r="I3" s="4">
        <v>25568800</v>
      </c>
      <c r="K3" s="3">
        <v>320493</v>
      </c>
      <c r="L3" s="3">
        <v>433866</v>
      </c>
      <c r="M3" s="3">
        <v>113497</v>
      </c>
      <c r="O3" s="4">
        <v>1444170</v>
      </c>
      <c r="P3" s="4">
        <v>1628630</v>
      </c>
      <c r="Q3" s="4">
        <v>616076</v>
      </c>
      <c r="S3" s="4">
        <v>272775000</v>
      </c>
      <c r="T3" s="4">
        <v>306676000</v>
      </c>
      <c r="U3" s="4">
        <v>113464000</v>
      </c>
      <c r="W3" s="4">
        <v>145619000</v>
      </c>
      <c r="X3" s="4">
        <v>163842000</v>
      </c>
      <c r="Y3" s="4">
        <v>60969100</v>
      </c>
      <c r="AA3" s="4">
        <v>344544000</v>
      </c>
      <c r="AB3" s="4">
        <v>386110000</v>
      </c>
      <c r="AC3" s="4">
        <v>148926000</v>
      </c>
      <c r="AE3" s="4">
        <v>294518000</v>
      </c>
      <c r="AF3" s="4">
        <v>348342000</v>
      </c>
      <c r="AG3" s="4">
        <v>132443000</v>
      </c>
      <c r="AI3" s="15">
        <v>157181000</v>
      </c>
      <c r="AJ3" s="15">
        <v>186547000</v>
      </c>
      <c r="AK3" s="15">
        <v>71256100</v>
      </c>
      <c r="AL3" s="16"/>
      <c r="AM3" s="4">
        <v>371794000</v>
      </c>
      <c r="AN3" s="4">
        <v>436456000</v>
      </c>
      <c r="AO3" s="4">
        <v>172219000</v>
      </c>
    </row>
    <row r="4" spans="1:41" x14ac:dyDescent="0.55000000000000004">
      <c r="A4" s="3">
        <v>2</v>
      </c>
      <c r="B4" s="3">
        <v>248.67699999999999</v>
      </c>
      <c r="C4" s="3">
        <v>531.47400000000005</v>
      </c>
      <c r="D4" s="3">
        <v>817.17499999999995</v>
      </c>
      <c r="G4" s="4">
        <v>120930000</v>
      </c>
      <c r="H4" s="4">
        <v>111061000</v>
      </c>
      <c r="I4" s="4">
        <v>29012800</v>
      </c>
      <c r="K4" s="3">
        <v>519602</v>
      </c>
      <c r="L4" s="3">
        <v>478556</v>
      </c>
      <c r="M4" s="3">
        <v>130529</v>
      </c>
      <c r="O4" s="4">
        <v>2347910</v>
      </c>
      <c r="P4" s="4">
        <v>1876480</v>
      </c>
      <c r="Q4" s="4">
        <v>685218</v>
      </c>
      <c r="S4" s="4">
        <v>440458000</v>
      </c>
      <c r="T4" s="4">
        <v>353051000</v>
      </c>
      <c r="U4" s="4">
        <v>124835000</v>
      </c>
      <c r="W4" s="4">
        <v>235892000</v>
      </c>
      <c r="X4" s="4">
        <v>188407000</v>
      </c>
      <c r="Y4" s="4">
        <v>66758000</v>
      </c>
      <c r="AA4" s="4">
        <v>549097000</v>
      </c>
      <c r="AB4" s="4">
        <v>449223000</v>
      </c>
      <c r="AC4" s="4">
        <v>164276000</v>
      </c>
      <c r="AE4" s="4">
        <v>437527000</v>
      </c>
      <c r="AF4" s="4">
        <v>364393000</v>
      </c>
      <c r="AG4" s="4">
        <v>136203000</v>
      </c>
      <c r="AI4" s="15">
        <v>233972000</v>
      </c>
      <c r="AJ4" s="15">
        <v>194609000</v>
      </c>
      <c r="AK4" s="15">
        <v>72964600</v>
      </c>
      <c r="AL4" s="16"/>
      <c r="AM4" s="4">
        <v>544954000</v>
      </c>
      <c r="AN4" s="4">
        <v>462234000</v>
      </c>
      <c r="AO4" s="4">
        <v>178199000</v>
      </c>
    </row>
    <row r="5" spans="1:41" x14ac:dyDescent="0.55000000000000004">
      <c r="A5" s="3">
        <v>3</v>
      </c>
      <c r="B5" s="3">
        <v>249.19200000000001</v>
      </c>
      <c r="C5" s="3">
        <v>531.80899999999997</v>
      </c>
      <c r="D5" s="3">
        <v>818.95</v>
      </c>
      <c r="G5" s="4">
        <v>137624000</v>
      </c>
      <c r="H5" s="4">
        <v>142574000</v>
      </c>
      <c r="I5" s="4">
        <v>36008900</v>
      </c>
      <c r="K5" s="3">
        <v>594924</v>
      </c>
      <c r="L5" s="3">
        <v>618534</v>
      </c>
      <c r="M5" s="3">
        <v>162159</v>
      </c>
      <c r="O5" s="4">
        <v>2742610</v>
      </c>
      <c r="P5" s="4">
        <v>2503830</v>
      </c>
      <c r="Q5" s="4">
        <v>847005</v>
      </c>
      <c r="S5" s="4">
        <v>513880000</v>
      </c>
      <c r="T5" s="4">
        <v>470766000</v>
      </c>
      <c r="U5" s="4">
        <v>155348000</v>
      </c>
      <c r="W5" s="4">
        <v>275152000</v>
      </c>
      <c r="X5" s="4">
        <v>251384000</v>
      </c>
      <c r="Y5" s="4">
        <v>82836200</v>
      </c>
      <c r="AA5" s="4">
        <v>641502000</v>
      </c>
      <c r="AB5" s="4">
        <v>593163000</v>
      </c>
      <c r="AC5" s="4">
        <v>205376000</v>
      </c>
      <c r="AE5" s="4">
        <v>463830000</v>
      </c>
      <c r="AF5" s="4">
        <v>439417000</v>
      </c>
      <c r="AG5" s="4">
        <v>151403000</v>
      </c>
      <c r="AI5" s="15">
        <v>247645000</v>
      </c>
      <c r="AJ5" s="15">
        <v>234353000</v>
      </c>
      <c r="AK5" s="15">
        <v>81012300</v>
      </c>
      <c r="AL5" s="16"/>
      <c r="AM5" s="4">
        <v>578712000</v>
      </c>
      <c r="AN5" s="4">
        <v>553449000</v>
      </c>
      <c r="AO5" s="4">
        <v>198948000</v>
      </c>
    </row>
    <row r="6" spans="1:41" x14ac:dyDescent="0.55000000000000004">
      <c r="A6" s="3">
        <v>4</v>
      </c>
      <c r="B6" s="3">
        <v>249.13</v>
      </c>
      <c r="C6" s="3">
        <v>531.36099999999999</v>
      </c>
      <c r="D6" s="3">
        <v>818.572</v>
      </c>
      <c r="G6" s="4">
        <v>131571000</v>
      </c>
      <c r="H6" s="4">
        <v>148377000</v>
      </c>
      <c r="I6" s="4">
        <v>40979300</v>
      </c>
      <c r="K6" s="3">
        <v>559503</v>
      </c>
      <c r="L6" s="3">
        <v>646420</v>
      </c>
      <c r="M6" s="3">
        <v>182544</v>
      </c>
      <c r="O6" s="4">
        <v>2654070</v>
      </c>
      <c r="P6" s="4">
        <v>2664480</v>
      </c>
      <c r="Q6" s="4">
        <v>959945</v>
      </c>
      <c r="S6" s="4">
        <v>499677000</v>
      </c>
      <c r="T6" s="4">
        <v>498690000</v>
      </c>
      <c r="U6" s="4">
        <v>176585000</v>
      </c>
      <c r="W6" s="4">
        <v>267143000</v>
      </c>
      <c r="X6" s="4">
        <v>267193000</v>
      </c>
      <c r="Y6" s="4">
        <v>94185100</v>
      </c>
      <c r="AA6" s="4">
        <v>626038000</v>
      </c>
      <c r="AB6" s="4">
        <v>627903000</v>
      </c>
      <c r="AC6" s="4">
        <v>231653000</v>
      </c>
      <c r="AE6" s="4">
        <v>411644000</v>
      </c>
      <c r="AF6" s="4">
        <v>436622000</v>
      </c>
      <c r="AG6" s="4">
        <v>161970000</v>
      </c>
      <c r="AI6" s="15">
        <v>219436000</v>
      </c>
      <c r="AJ6" s="15">
        <v>234040000</v>
      </c>
      <c r="AK6" s="15">
        <v>86467600</v>
      </c>
      <c r="AL6" s="16"/>
      <c r="AM6" s="4">
        <v>516353000</v>
      </c>
      <c r="AN6" s="4">
        <v>548750000</v>
      </c>
      <c r="AO6" s="4">
        <v>211268000</v>
      </c>
    </row>
    <row r="7" spans="1:41" x14ac:dyDescent="0.55000000000000004">
      <c r="A7" s="3">
        <v>5</v>
      </c>
      <c r="B7" s="3">
        <v>249.01900000000001</v>
      </c>
      <c r="C7" s="3">
        <v>531.58399999999995</v>
      </c>
      <c r="D7" s="3">
        <v>819.18899999999996</v>
      </c>
      <c r="G7" s="4">
        <v>150396000</v>
      </c>
      <c r="H7" s="4">
        <v>148579000</v>
      </c>
      <c r="I7" s="4">
        <v>48893200</v>
      </c>
      <c r="K7" s="3">
        <v>650189</v>
      </c>
      <c r="L7" s="3">
        <v>642714</v>
      </c>
      <c r="M7" s="3">
        <v>216938</v>
      </c>
      <c r="O7" s="4">
        <v>3114970</v>
      </c>
      <c r="P7" s="4">
        <v>2736750</v>
      </c>
      <c r="Q7" s="4">
        <v>1139850</v>
      </c>
      <c r="S7" s="4">
        <v>582518000</v>
      </c>
      <c r="T7" s="4">
        <v>513306000</v>
      </c>
      <c r="U7" s="4">
        <v>208764000</v>
      </c>
      <c r="W7" s="4">
        <v>311880000</v>
      </c>
      <c r="X7" s="4">
        <v>274830000</v>
      </c>
      <c r="Y7" s="4">
        <v>112088000</v>
      </c>
      <c r="AA7" s="4">
        <v>726318000</v>
      </c>
      <c r="AB7" s="4">
        <v>650133000</v>
      </c>
      <c r="AC7" s="4">
        <v>271347000</v>
      </c>
      <c r="AE7" s="4">
        <v>441996000</v>
      </c>
      <c r="AF7" s="4">
        <v>415562000</v>
      </c>
      <c r="AG7" s="4">
        <v>179002000</v>
      </c>
      <c r="AI7" s="15">
        <v>236842000</v>
      </c>
      <c r="AJ7" s="15">
        <v>222550000</v>
      </c>
      <c r="AK7" s="15">
        <v>96015300</v>
      </c>
      <c r="AL7" s="16"/>
      <c r="AM7" s="4">
        <v>552256000</v>
      </c>
      <c r="AN7" s="4">
        <v>525636000</v>
      </c>
      <c r="AO7" s="4">
        <v>231741000</v>
      </c>
    </row>
    <row r="8" spans="1:41" x14ac:dyDescent="0.55000000000000004">
      <c r="A8" s="3">
        <v>6</v>
      </c>
      <c r="B8" s="3">
        <v>249.05600000000001</v>
      </c>
      <c r="C8" s="3">
        <v>531.29700000000003</v>
      </c>
      <c r="D8" s="3">
        <v>820.08299999999997</v>
      </c>
      <c r="G8" s="4">
        <v>167168000</v>
      </c>
      <c r="H8" s="4">
        <v>182548000</v>
      </c>
      <c r="I8" s="4">
        <v>60747100</v>
      </c>
      <c r="K8" s="3">
        <v>734545</v>
      </c>
      <c r="L8" s="3">
        <v>794990</v>
      </c>
      <c r="M8" s="3">
        <v>269287</v>
      </c>
      <c r="O8" s="4">
        <v>3499240</v>
      </c>
      <c r="P8" s="4">
        <v>3461070</v>
      </c>
      <c r="Q8" s="4">
        <v>1357370</v>
      </c>
      <c r="S8" s="4">
        <v>651985000</v>
      </c>
      <c r="T8" s="4">
        <v>648032000</v>
      </c>
      <c r="U8" s="4">
        <v>252507000</v>
      </c>
      <c r="W8" s="4">
        <v>349432000</v>
      </c>
      <c r="X8" s="4">
        <v>346770000</v>
      </c>
      <c r="Y8" s="4">
        <v>135431000</v>
      </c>
      <c r="AA8" s="4">
        <v>814968000</v>
      </c>
      <c r="AB8" s="4">
        <v>815159000</v>
      </c>
      <c r="AC8" s="4">
        <v>327509000</v>
      </c>
      <c r="AE8" s="4">
        <v>468759000</v>
      </c>
      <c r="AF8" s="4">
        <v>492469000</v>
      </c>
      <c r="AG8" s="4">
        <v>206435000</v>
      </c>
      <c r="AI8" s="15">
        <v>250966000</v>
      </c>
      <c r="AJ8" s="15">
        <v>263780000</v>
      </c>
      <c r="AK8" s="15">
        <v>110469000</v>
      </c>
      <c r="AL8" s="16"/>
      <c r="AM8" s="4">
        <v>587267000</v>
      </c>
      <c r="AN8" s="4">
        <v>620010000</v>
      </c>
      <c r="AO8" s="4">
        <v>267030000</v>
      </c>
    </row>
    <row r="9" spans="1:41" x14ac:dyDescent="0.55000000000000004">
      <c r="A9" s="3">
        <v>7</v>
      </c>
      <c r="B9" s="3">
        <v>250.59700000000001</v>
      </c>
      <c r="C9" s="3">
        <v>531.03700000000003</v>
      </c>
      <c r="D9" s="3">
        <v>820.51</v>
      </c>
      <c r="G9" s="4">
        <v>146763000</v>
      </c>
      <c r="H9" s="4">
        <v>166481000</v>
      </c>
      <c r="I9" s="4">
        <v>66167600</v>
      </c>
      <c r="K9" s="3">
        <v>636116</v>
      </c>
      <c r="L9" s="3">
        <v>726798</v>
      </c>
      <c r="M9" s="3">
        <v>293214</v>
      </c>
      <c r="O9" s="4">
        <v>3103940</v>
      </c>
      <c r="P9" s="4">
        <v>3235530</v>
      </c>
      <c r="Q9" s="4">
        <v>1521470</v>
      </c>
      <c r="S9" s="4">
        <v>581541000</v>
      </c>
      <c r="T9" s="4">
        <v>606016000</v>
      </c>
      <c r="U9" s="4">
        <v>277677000</v>
      </c>
      <c r="W9" s="4">
        <v>311096000</v>
      </c>
      <c r="X9" s="4">
        <v>323995000</v>
      </c>
      <c r="Y9" s="4">
        <v>148942000</v>
      </c>
      <c r="AA9" s="4">
        <v>729136000</v>
      </c>
      <c r="AB9" s="4">
        <v>763185000</v>
      </c>
      <c r="AC9" s="4">
        <v>356123000</v>
      </c>
      <c r="AE9" s="4">
        <v>393245000</v>
      </c>
      <c r="AF9" s="4">
        <v>442753000</v>
      </c>
      <c r="AG9" s="4">
        <v>215635000</v>
      </c>
      <c r="AI9" s="15">
        <v>210059000</v>
      </c>
      <c r="AJ9" s="15">
        <v>236945000</v>
      </c>
      <c r="AK9" s="15">
        <v>115528000</v>
      </c>
      <c r="AL9" s="16"/>
      <c r="AM9" s="4">
        <v>494431000</v>
      </c>
      <c r="AN9" s="4">
        <v>557072000</v>
      </c>
      <c r="AO9" s="4">
        <v>275960000</v>
      </c>
    </row>
    <row r="10" spans="1:41" x14ac:dyDescent="0.55000000000000004">
      <c r="A10" s="3">
        <v>8</v>
      </c>
      <c r="B10" s="3">
        <v>249.66300000000001</v>
      </c>
      <c r="C10" s="3">
        <v>531.53899999999999</v>
      </c>
      <c r="D10" s="3">
        <v>819.68100000000004</v>
      </c>
      <c r="G10" s="4">
        <v>201603000</v>
      </c>
      <c r="H10" s="4">
        <v>153338000</v>
      </c>
      <c r="I10" s="4">
        <v>65434400</v>
      </c>
      <c r="K10" s="3">
        <v>869760</v>
      </c>
      <c r="L10" s="3">
        <v>663435</v>
      </c>
      <c r="M10" s="3">
        <v>289259</v>
      </c>
      <c r="O10" s="4">
        <v>4294030</v>
      </c>
      <c r="P10" s="4">
        <v>3047820</v>
      </c>
      <c r="Q10" s="4">
        <v>1479600</v>
      </c>
      <c r="S10" s="4">
        <v>806798000</v>
      </c>
      <c r="T10" s="4">
        <v>576535000</v>
      </c>
      <c r="U10" s="4">
        <v>272981000</v>
      </c>
      <c r="W10" s="4">
        <v>432611000</v>
      </c>
      <c r="X10" s="4">
        <v>307243000</v>
      </c>
      <c r="Y10" s="4">
        <v>147443000</v>
      </c>
      <c r="AA10" s="4">
        <v>998658000</v>
      </c>
      <c r="AB10" s="4">
        <v>734572000</v>
      </c>
      <c r="AC10" s="4">
        <v>349507000</v>
      </c>
      <c r="AE10" s="4">
        <v>514673000</v>
      </c>
      <c r="AF10" s="4">
        <v>401988000</v>
      </c>
      <c r="AG10" s="4">
        <v>201924000</v>
      </c>
      <c r="AI10" s="15">
        <v>275118000</v>
      </c>
      <c r="AJ10" s="15">
        <v>214320000</v>
      </c>
      <c r="AK10" s="15">
        <v>108764000</v>
      </c>
      <c r="AL10" s="16"/>
      <c r="AM10" s="4">
        <v>639265000</v>
      </c>
      <c r="AN10" s="4">
        <v>511555000</v>
      </c>
      <c r="AO10" s="4">
        <v>258076000</v>
      </c>
    </row>
    <row r="11" spans="1:41" x14ac:dyDescent="0.55000000000000004">
      <c r="A11" s="3">
        <v>9</v>
      </c>
      <c r="B11" s="3">
        <v>250.505</v>
      </c>
      <c r="C11" s="3">
        <v>531.72500000000002</v>
      </c>
      <c r="D11" s="3">
        <v>819.85500000000002</v>
      </c>
      <c r="G11" s="4">
        <v>197092000</v>
      </c>
      <c r="H11" s="4">
        <v>193408000</v>
      </c>
      <c r="I11" s="4">
        <v>71080200</v>
      </c>
      <c r="K11" s="3">
        <v>854875</v>
      </c>
      <c r="L11" s="3">
        <v>846430</v>
      </c>
      <c r="M11" s="3">
        <v>315770</v>
      </c>
      <c r="O11" s="4">
        <v>4266730</v>
      </c>
      <c r="P11" s="4">
        <v>3977480</v>
      </c>
      <c r="Q11" s="4">
        <v>1616890</v>
      </c>
      <c r="S11" s="4">
        <v>801216000</v>
      </c>
      <c r="T11" s="4">
        <v>745090000</v>
      </c>
      <c r="U11" s="4">
        <v>298470000</v>
      </c>
      <c r="W11" s="4">
        <v>427899000</v>
      </c>
      <c r="X11" s="4">
        <v>398615000</v>
      </c>
      <c r="Y11" s="4">
        <v>160587000</v>
      </c>
      <c r="AA11" s="4">
        <v>996455000</v>
      </c>
      <c r="AB11" s="4">
        <v>938338000</v>
      </c>
      <c r="AC11" s="4">
        <v>385409000</v>
      </c>
      <c r="AE11" s="4">
        <v>489674000</v>
      </c>
      <c r="AF11" s="4">
        <v>496696000</v>
      </c>
      <c r="AG11" s="4">
        <v>210929000</v>
      </c>
      <c r="AI11" s="15">
        <v>260868000</v>
      </c>
      <c r="AJ11" s="15">
        <v>265314000</v>
      </c>
      <c r="AK11" s="15">
        <v>113393000</v>
      </c>
      <c r="AL11" s="16"/>
      <c r="AM11" s="4">
        <v>612131000</v>
      </c>
      <c r="AN11" s="4">
        <v>625325000</v>
      </c>
      <c r="AO11" s="4">
        <v>271912000</v>
      </c>
    </row>
    <row r="12" spans="1:41" x14ac:dyDescent="0.55000000000000004">
      <c r="A12" s="3">
        <v>10</v>
      </c>
      <c r="B12" s="3">
        <v>250.15799999999999</v>
      </c>
      <c r="C12" s="3">
        <v>531.87099999999998</v>
      </c>
      <c r="D12" s="3">
        <v>819.90800000000002</v>
      </c>
      <c r="G12" s="4">
        <v>185267000</v>
      </c>
      <c r="H12" s="4">
        <v>161844000</v>
      </c>
      <c r="I12" s="4">
        <v>76303400</v>
      </c>
      <c r="K12" s="3">
        <v>808751</v>
      </c>
      <c r="L12" s="3">
        <v>708724</v>
      </c>
      <c r="M12" s="3">
        <v>343095</v>
      </c>
      <c r="O12" s="4">
        <v>4100290</v>
      </c>
      <c r="P12" s="4">
        <v>3395520</v>
      </c>
      <c r="Q12" s="4">
        <v>1724200</v>
      </c>
      <c r="S12" s="4">
        <v>763865000</v>
      </c>
      <c r="T12" s="4">
        <v>636855000</v>
      </c>
      <c r="U12" s="4">
        <v>318402000</v>
      </c>
      <c r="W12" s="4">
        <v>409013000</v>
      </c>
      <c r="X12" s="4">
        <v>339640000</v>
      </c>
      <c r="Y12" s="4">
        <v>171866000</v>
      </c>
      <c r="AA12" s="4">
        <v>949961000</v>
      </c>
      <c r="AB12" s="4">
        <v>807966000</v>
      </c>
      <c r="AC12" s="4">
        <v>405259000</v>
      </c>
      <c r="AE12" s="4">
        <v>445483000</v>
      </c>
      <c r="AF12" s="4">
        <v>417166000</v>
      </c>
      <c r="AG12" s="4">
        <v>215289000</v>
      </c>
      <c r="AI12" s="15">
        <v>237823000</v>
      </c>
      <c r="AJ12" s="15">
        <v>222393000</v>
      </c>
      <c r="AK12" s="15">
        <v>116063000</v>
      </c>
      <c r="AL12" s="16"/>
      <c r="AM12" s="4">
        <v>556702000</v>
      </c>
      <c r="AN12" s="4">
        <v>527702000</v>
      </c>
      <c r="AO12" s="4">
        <v>273940000</v>
      </c>
    </row>
    <row r="13" spans="1:41" x14ac:dyDescent="0.55000000000000004">
      <c r="A13" s="3">
        <v>11</v>
      </c>
      <c r="B13" s="3">
        <v>250.21199999999999</v>
      </c>
      <c r="C13" s="3">
        <v>529.42700000000002</v>
      </c>
      <c r="D13" s="3">
        <v>820.16399999999999</v>
      </c>
      <c r="G13" s="4">
        <v>173341000</v>
      </c>
      <c r="H13" s="4">
        <v>30604600</v>
      </c>
      <c r="I13" s="4">
        <v>87342600</v>
      </c>
      <c r="K13" s="3">
        <v>754302</v>
      </c>
      <c r="L13" s="3">
        <v>129740</v>
      </c>
      <c r="M13" s="3">
        <v>385381</v>
      </c>
      <c r="O13" s="4">
        <v>3909070</v>
      </c>
      <c r="P13" s="4">
        <v>675229</v>
      </c>
      <c r="Q13" s="4">
        <v>1963610</v>
      </c>
      <c r="S13" s="4">
        <v>722681000</v>
      </c>
      <c r="T13" s="4">
        <v>128836000</v>
      </c>
      <c r="U13" s="4">
        <v>360262000</v>
      </c>
      <c r="W13" s="4">
        <v>389193000</v>
      </c>
      <c r="X13" s="4">
        <v>66995300</v>
      </c>
      <c r="Y13" s="4">
        <v>195200000</v>
      </c>
      <c r="AA13" s="4">
        <v>881046000</v>
      </c>
      <c r="AB13" s="4">
        <v>197912000</v>
      </c>
      <c r="AC13" s="4">
        <v>438567000</v>
      </c>
      <c r="AE13" s="4">
        <v>402592000</v>
      </c>
      <c r="AF13" s="4">
        <v>82559300</v>
      </c>
      <c r="AG13" s="4">
        <v>238132000</v>
      </c>
      <c r="AI13" s="15">
        <v>216501000</v>
      </c>
      <c r="AJ13" s="15">
        <v>43106500</v>
      </c>
      <c r="AK13" s="15">
        <v>128795000</v>
      </c>
      <c r="AL13" s="16"/>
      <c r="AM13" s="4">
        <v>492320000</v>
      </c>
      <c r="AN13" s="4">
        <v>124664000</v>
      </c>
      <c r="AO13" s="4">
        <v>289776000</v>
      </c>
    </row>
    <row r="14" spans="1:41" x14ac:dyDescent="0.55000000000000004">
      <c r="A14" s="3">
        <v>12</v>
      </c>
      <c r="B14" s="3">
        <v>250.024</v>
      </c>
      <c r="C14" s="3">
        <v>531.91399999999999</v>
      </c>
      <c r="D14" s="3">
        <v>819.774</v>
      </c>
      <c r="G14" s="4">
        <v>221736000</v>
      </c>
      <c r="H14" s="4">
        <v>179278000</v>
      </c>
      <c r="I14" s="4">
        <v>82591100</v>
      </c>
      <c r="K14" s="3">
        <v>958733</v>
      </c>
      <c r="L14" s="3">
        <v>774159</v>
      </c>
      <c r="M14" s="3">
        <v>367606</v>
      </c>
      <c r="O14" s="4">
        <v>5006910</v>
      </c>
      <c r="P14" s="4">
        <v>4032840</v>
      </c>
      <c r="Q14" s="4">
        <v>1840760</v>
      </c>
      <c r="S14" s="4">
        <v>939684000</v>
      </c>
      <c r="T14" s="4">
        <v>760960000</v>
      </c>
      <c r="U14" s="4">
        <v>340767000</v>
      </c>
      <c r="W14" s="4">
        <v>501693000</v>
      </c>
      <c r="X14" s="4">
        <v>405354000</v>
      </c>
      <c r="Y14" s="4">
        <v>183108000</v>
      </c>
      <c r="AA14" s="4">
        <v>1165450000</v>
      </c>
      <c r="AB14" s="4">
        <v>965516000</v>
      </c>
      <c r="AC14" s="4">
        <v>436654000</v>
      </c>
      <c r="AE14" s="4">
        <v>506876000</v>
      </c>
      <c r="AF14" s="4">
        <v>453546000</v>
      </c>
      <c r="AG14" s="4">
        <v>217011000</v>
      </c>
      <c r="AI14" s="15">
        <v>270125000</v>
      </c>
      <c r="AJ14" s="15">
        <v>240605000</v>
      </c>
      <c r="AK14" s="15">
        <v>116455000</v>
      </c>
      <c r="AL14" s="16"/>
      <c r="AM14" s="4">
        <v>631329000</v>
      </c>
      <c r="AN14" s="4">
        <v>574829000</v>
      </c>
      <c r="AO14" s="4">
        <v>277510000</v>
      </c>
    </row>
    <row r="15" spans="1:41" x14ac:dyDescent="0.55000000000000004">
      <c r="A15" s="3">
        <v>13</v>
      </c>
      <c r="B15" s="3">
        <v>250.70099999999999</v>
      </c>
      <c r="C15" s="3">
        <v>532.15800000000002</v>
      </c>
      <c r="D15" s="3">
        <v>819.09799999999996</v>
      </c>
      <c r="G15" s="4">
        <v>217341000</v>
      </c>
      <c r="H15" s="4">
        <v>185705000</v>
      </c>
      <c r="I15" s="4">
        <v>83279200</v>
      </c>
      <c r="K15" s="3">
        <v>952134</v>
      </c>
      <c r="L15" s="3">
        <v>801613</v>
      </c>
      <c r="M15" s="3">
        <v>370439</v>
      </c>
      <c r="O15" s="4">
        <v>4991410</v>
      </c>
      <c r="P15" s="4">
        <v>4316140</v>
      </c>
      <c r="Q15" s="4">
        <v>1844000</v>
      </c>
      <c r="S15" s="4">
        <v>934118000</v>
      </c>
      <c r="T15" s="4">
        <v>809956000</v>
      </c>
      <c r="U15" s="4">
        <v>343541000</v>
      </c>
      <c r="W15" s="4">
        <v>499626000</v>
      </c>
      <c r="X15" s="4">
        <v>433442000</v>
      </c>
      <c r="Y15" s="4">
        <v>183914000</v>
      </c>
      <c r="AA15" s="4">
        <v>1160000000</v>
      </c>
      <c r="AB15" s="4">
        <v>1023160000</v>
      </c>
      <c r="AC15" s="4">
        <v>441199000</v>
      </c>
      <c r="AE15" s="4">
        <v>488981000</v>
      </c>
      <c r="AF15" s="4">
        <v>478606000</v>
      </c>
      <c r="AG15" s="4">
        <v>216751000</v>
      </c>
      <c r="AI15" s="15">
        <v>260689000</v>
      </c>
      <c r="AJ15" s="15">
        <v>255954000</v>
      </c>
      <c r="AK15" s="15">
        <v>115937000</v>
      </c>
      <c r="AL15" s="16"/>
      <c r="AM15" s="4">
        <v>609940000</v>
      </c>
      <c r="AN15" s="4">
        <v>603264000</v>
      </c>
      <c r="AO15" s="4">
        <v>278025000</v>
      </c>
    </row>
    <row r="16" spans="1:41" x14ac:dyDescent="0.55000000000000004">
      <c r="A16" s="3">
        <v>14</v>
      </c>
      <c r="B16" s="3">
        <v>251.273</v>
      </c>
      <c r="C16" s="3">
        <v>531.99099999999999</v>
      </c>
      <c r="D16" s="3">
        <v>818.06299999999999</v>
      </c>
      <c r="G16" s="4">
        <v>206113000</v>
      </c>
      <c r="H16" s="4">
        <v>194066000</v>
      </c>
      <c r="I16" s="4">
        <v>65753300</v>
      </c>
      <c r="K16" s="3">
        <v>900537</v>
      </c>
      <c r="L16" s="3">
        <v>844321</v>
      </c>
      <c r="M16" s="3">
        <v>291142</v>
      </c>
      <c r="O16" s="4">
        <v>4925790</v>
      </c>
      <c r="P16" s="4">
        <v>4659270</v>
      </c>
      <c r="Q16" s="4">
        <v>1463580</v>
      </c>
      <c r="S16" s="4">
        <v>917880000</v>
      </c>
      <c r="T16" s="4">
        <v>871181000</v>
      </c>
      <c r="U16" s="4">
        <v>274124000</v>
      </c>
      <c r="W16" s="4">
        <v>491748000</v>
      </c>
      <c r="X16" s="4">
        <v>465720000</v>
      </c>
      <c r="Y16" s="4">
        <v>145392000</v>
      </c>
      <c r="AA16" s="4">
        <v>1141670000</v>
      </c>
      <c r="AB16" s="4">
        <v>1094140000</v>
      </c>
      <c r="AC16" s="4">
        <v>360871000</v>
      </c>
      <c r="AE16" s="4">
        <v>470577000</v>
      </c>
      <c r="AF16" s="4">
        <v>505584000</v>
      </c>
      <c r="AG16" s="4">
        <v>161600000</v>
      </c>
      <c r="AI16" s="15">
        <v>251235000</v>
      </c>
      <c r="AJ16" s="15">
        <v>269848000</v>
      </c>
      <c r="AK16" s="15">
        <v>85543400</v>
      </c>
      <c r="AL16" s="16"/>
      <c r="AM16" s="4">
        <v>588577000</v>
      </c>
      <c r="AN16" s="4">
        <v>633500000</v>
      </c>
      <c r="AO16" s="4">
        <v>213158000</v>
      </c>
    </row>
    <row r="17" spans="1:41" x14ac:dyDescent="0.55000000000000004">
      <c r="A17" s="3">
        <v>15</v>
      </c>
      <c r="B17" s="3">
        <v>250.834</v>
      </c>
      <c r="C17" s="3">
        <v>531.81100000000004</v>
      </c>
      <c r="D17" s="3">
        <v>816.03599999999994</v>
      </c>
      <c r="G17" s="4">
        <v>207146000</v>
      </c>
      <c r="H17" s="4">
        <v>157718000</v>
      </c>
      <c r="I17" s="4">
        <v>60979600</v>
      </c>
      <c r="K17" s="3">
        <v>888170</v>
      </c>
      <c r="L17" s="3">
        <v>695199</v>
      </c>
      <c r="M17" s="3">
        <v>269622</v>
      </c>
      <c r="O17" s="4">
        <v>4948530</v>
      </c>
      <c r="P17" s="4">
        <v>3892150</v>
      </c>
      <c r="Q17" s="4">
        <v>1352100</v>
      </c>
      <c r="S17" s="4">
        <v>925916000</v>
      </c>
      <c r="T17" s="4">
        <v>730954000</v>
      </c>
      <c r="U17" s="4">
        <v>252221000</v>
      </c>
      <c r="W17" s="4">
        <v>496351000</v>
      </c>
      <c r="X17" s="4">
        <v>387181000</v>
      </c>
      <c r="Y17" s="4">
        <v>134336000</v>
      </c>
      <c r="AA17" s="4">
        <v>1147170000</v>
      </c>
      <c r="AB17" s="4">
        <v>926463000</v>
      </c>
      <c r="AC17" s="4">
        <v>329244000</v>
      </c>
      <c r="AE17" s="4">
        <v>478189000</v>
      </c>
      <c r="AF17" s="4">
        <v>424382000</v>
      </c>
      <c r="AG17" s="4">
        <v>155028000</v>
      </c>
      <c r="AI17" s="15">
        <v>255765000</v>
      </c>
      <c r="AJ17" s="15">
        <v>225244000</v>
      </c>
      <c r="AK17" s="15">
        <v>82471000</v>
      </c>
      <c r="AL17" s="16"/>
      <c r="AM17" s="4">
        <v>594934000</v>
      </c>
      <c r="AN17" s="4">
        <v>535999000</v>
      </c>
      <c r="AO17" s="4">
        <v>201614000</v>
      </c>
    </row>
    <row r="18" spans="1:41" x14ac:dyDescent="0.55000000000000004">
      <c r="A18" s="3">
        <v>16</v>
      </c>
      <c r="B18" s="3">
        <v>251.792</v>
      </c>
      <c r="C18" s="3">
        <v>531.33600000000001</v>
      </c>
      <c r="D18" s="3">
        <v>814.51800000000003</v>
      </c>
      <c r="G18" s="4">
        <v>144036000</v>
      </c>
      <c r="H18" s="4">
        <v>96989500</v>
      </c>
      <c r="I18" s="4">
        <v>36831000</v>
      </c>
      <c r="K18" s="3">
        <v>614288</v>
      </c>
      <c r="L18" s="3">
        <v>420899</v>
      </c>
      <c r="M18" s="3">
        <v>161490</v>
      </c>
      <c r="O18" s="4">
        <v>3533650</v>
      </c>
      <c r="P18" s="4">
        <v>2452430</v>
      </c>
      <c r="Q18" s="4">
        <v>836335</v>
      </c>
      <c r="S18" s="4">
        <v>661374000</v>
      </c>
      <c r="T18" s="4">
        <v>462613000</v>
      </c>
      <c r="U18" s="4">
        <v>153701000</v>
      </c>
      <c r="W18" s="4">
        <v>354133000</v>
      </c>
      <c r="X18" s="4">
        <v>245421000</v>
      </c>
      <c r="Y18" s="4">
        <v>82336400</v>
      </c>
      <c r="AA18" s="4">
        <v>821019000</v>
      </c>
      <c r="AB18" s="4">
        <v>592225000</v>
      </c>
      <c r="AC18" s="4">
        <v>203054000</v>
      </c>
      <c r="AE18" s="4">
        <v>343585000</v>
      </c>
      <c r="AF18" s="4">
        <v>278919000</v>
      </c>
      <c r="AG18" s="4">
        <v>91110500</v>
      </c>
      <c r="AI18" s="15">
        <v>183416000</v>
      </c>
      <c r="AJ18" s="15">
        <v>148091000</v>
      </c>
      <c r="AK18" s="15">
        <v>48737500</v>
      </c>
      <c r="AL18" s="16"/>
      <c r="AM18" s="4">
        <v>428559000</v>
      </c>
      <c r="AN18" s="4">
        <v>354751000</v>
      </c>
      <c r="AO18" s="4">
        <v>120618000</v>
      </c>
    </row>
    <row r="19" spans="1:41" x14ac:dyDescent="0.55000000000000004">
      <c r="A19" s="3">
        <v>17</v>
      </c>
      <c r="B19" s="3">
        <v>250.494</v>
      </c>
      <c r="C19" s="3">
        <v>531.61699999999996</v>
      </c>
      <c r="D19" s="3">
        <v>816.17</v>
      </c>
      <c r="G19" s="4">
        <v>175220000</v>
      </c>
      <c r="H19" s="4">
        <v>48138000</v>
      </c>
      <c r="I19" s="4">
        <v>46491400</v>
      </c>
      <c r="K19" s="3">
        <v>761633</v>
      </c>
      <c r="L19" s="3">
        <v>208636</v>
      </c>
      <c r="M19" s="3">
        <v>208424</v>
      </c>
      <c r="O19" s="4">
        <v>4390860</v>
      </c>
      <c r="P19" s="4">
        <v>1220140</v>
      </c>
      <c r="Q19" s="4">
        <v>1057460</v>
      </c>
      <c r="S19" s="4">
        <v>818507000</v>
      </c>
      <c r="T19" s="4">
        <v>232707000</v>
      </c>
      <c r="U19" s="4">
        <v>193341000</v>
      </c>
      <c r="W19" s="4">
        <v>439921000</v>
      </c>
      <c r="X19" s="4">
        <v>121775000</v>
      </c>
      <c r="Y19" s="4">
        <v>104231000</v>
      </c>
      <c r="AA19" s="4">
        <v>1001250000</v>
      </c>
      <c r="AB19" s="4">
        <v>322094000</v>
      </c>
      <c r="AC19" s="4">
        <v>241784000</v>
      </c>
      <c r="AE19" s="4">
        <v>463567000</v>
      </c>
      <c r="AF19" s="4">
        <v>142515000</v>
      </c>
      <c r="AG19" s="4">
        <v>123706000</v>
      </c>
      <c r="AI19" s="15">
        <v>248991000</v>
      </c>
      <c r="AJ19" s="15">
        <v>74846800</v>
      </c>
      <c r="AK19" s="15">
        <v>66621800</v>
      </c>
      <c r="AL19" s="16"/>
      <c r="AM19" s="4">
        <v>567650000</v>
      </c>
      <c r="AN19" s="4">
        <v>195683000</v>
      </c>
      <c r="AO19" s="4">
        <v>154292000</v>
      </c>
    </row>
    <row r="20" spans="1:41" x14ac:dyDescent="0.55000000000000004">
      <c r="A20" s="3">
        <v>18</v>
      </c>
      <c r="B20" s="3">
        <v>250.172</v>
      </c>
      <c r="C20" s="3">
        <v>530.37099999999998</v>
      </c>
      <c r="D20" s="3">
        <v>815.40099999999995</v>
      </c>
      <c r="G20" s="4">
        <v>195669000</v>
      </c>
      <c r="H20" s="4">
        <v>53999500</v>
      </c>
      <c r="I20" s="4">
        <v>44907900</v>
      </c>
      <c r="K20" s="3">
        <v>845305</v>
      </c>
      <c r="L20" s="3">
        <v>231332</v>
      </c>
      <c r="M20" s="3">
        <v>198983</v>
      </c>
      <c r="O20" s="4">
        <v>4837350</v>
      </c>
      <c r="P20" s="4">
        <v>1329140</v>
      </c>
      <c r="Q20" s="4">
        <v>1006970</v>
      </c>
      <c r="S20" s="4">
        <v>900170000</v>
      </c>
      <c r="T20" s="4">
        <v>254580000</v>
      </c>
      <c r="U20" s="4">
        <v>186330000</v>
      </c>
      <c r="W20" s="4">
        <v>484843000</v>
      </c>
      <c r="X20" s="4">
        <v>134153000</v>
      </c>
      <c r="Y20" s="4">
        <v>99846200</v>
      </c>
      <c r="AA20" s="4">
        <v>1097870000</v>
      </c>
      <c r="AB20" s="4">
        <v>350145000</v>
      </c>
      <c r="AC20" s="4">
        <v>234315000</v>
      </c>
      <c r="AE20" s="4">
        <v>510468000</v>
      </c>
      <c r="AF20" s="4">
        <v>154431000</v>
      </c>
      <c r="AG20" s="4">
        <v>119033000</v>
      </c>
      <c r="AI20" s="15">
        <v>275337000</v>
      </c>
      <c r="AJ20" s="15">
        <v>81252000</v>
      </c>
      <c r="AK20" s="15">
        <v>63870900</v>
      </c>
      <c r="AL20" s="16"/>
      <c r="AM20" s="4">
        <v>624121000</v>
      </c>
      <c r="AN20" s="4">
        <v>211350000</v>
      </c>
      <c r="AO20" s="4">
        <v>149415000</v>
      </c>
    </row>
    <row r="21" spans="1:41" x14ac:dyDescent="0.55000000000000004">
      <c r="A21" s="3">
        <v>19</v>
      </c>
      <c r="B21" s="3">
        <v>250.69300000000001</v>
      </c>
      <c r="C21" s="3">
        <v>530.26</v>
      </c>
      <c r="D21" s="3">
        <v>818.32899999999995</v>
      </c>
      <c r="G21" s="4">
        <v>181684000</v>
      </c>
      <c r="H21" s="4">
        <v>47507600</v>
      </c>
      <c r="I21" s="4">
        <v>47889200</v>
      </c>
      <c r="K21" s="3">
        <v>789960</v>
      </c>
      <c r="L21" s="3">
        <v>203586</v>
      </c>
      <c r="M21" s="3">
        <v>212912</v>
      </c>
      <c r="O21" s="4">
        <v>4393400</v>
      </c>
      <c r="P21" s="4">
        <v>1146750</v>
      </c>
      <c r="Q21" s="4">
        <v>1071740</v>
      </c>
      <c r="S21" s="4">
        <v>814656000</v>
      </c>
      <c r="T21" s="4">
        <v>220918000</v>
      </c>
      <c r="U21" s="4">
        <v>198165000</v>
      </c>
      <c r="W21" s="4">
        <v>440560000</v>
      </c>
      <c r="X21" s="4">
        <v>115355000</v>
      </c>
      <c r="Y21" s="4">
        <v>106521000</v>
      </c>
      <c r="AA21" s="4">
        <v>994629000</v>
      </c>
      <c r="AB21" s="4">
        <v>307036000</v>
      </c>
      <c r="AC21" s="4">
        <v>247536000</v>
      </c>
      <c r="AE21" s="4">
        <v>468034000</v>
      </c>
      <c r="AF21" s="4">
        <v>134583000</v>
      </c>
      <c r="AG21" s="4">
        <v>127155000</v>
      </c>
      <c r="AI21" s="15">
        <v>253284000</v>
      </c>
      <c r="AJ21" s="15">
        <v>70400700</v>
      </c>
      <c r="AK21" s="15">
        <v>68364000</v>
      </c>
      <c r="AL21" s="16"/>
      <c r="AM21" s="4">
        <v>572767000</v>
      </c>
      <c r="AN21" s="4">
        <v>186232000</v>
      </c>
      <c r="AO21" s="4">
        <v>158480000</v>
      </c>
    </row>
    <row r="22" spans="1:41" x14ac:dyDescent="0.55000000000000004">
      <c r="A22" s="3">
        <v>20</v>
      </c>
      <c r="B22" s="3">
        <v>250.33600000000001</v>
      </c>
      <c r="C22" s="3">
        <v>529.54399999999998</v>
      </c>
      <c r="D22" s="3">
        <v>816.74300000000005</v>
      </c>
      <c r="G22" s="4">
        <v>195893000</v>
      </c>
      <c r="H22" s="4">
        <v>55567100</v>
      </c>
      <c r="I22" s="4">
        <v>58985500</v>
      </c>
      <c r="K22" s="3">
        <v>850731</v>
      </c>
      <c r="L22" s="3">
        <v>239861</v>
      </c>
      <c r="M22" s="3">
        <v>261201</v>
      </c>
      <c r="O22" s="4">
        <v>4625750</v>
      </c>
      <c r="P22" s="4">
        <v>1295750</v>
      </c>
      <c r="Q22" s="4">
        <v>1333230</v>
      </c>
      <c r="S22" s="4">
        <v>861331000</v>
      </c>
      <c r="T22" s="4">
        <v>248486000</v>
      </c>
      <c r="U22" s="4">
        <v>245452000</v>
      </c>
      <c r="W22" s="4">
        <v>462873000</v>
      </c>
      <c r="X22" s="4">
        <v>130805000</v>
      </c>
      <c r="Y22" s="4">
        <v>131974000</v>
      </c>
      <c r="AA22" s="4">
        <v>1052830000</v>
      </c>
      <c r="AB22" s="4">
        <v>342024000</v>
      </c>
      <c r="AC22" s="4">
        <v>304120000</v>
      </c>
      <c r="AE22" s="4">
        <v>502199000</v>
      </c>
      <c r="AF22" s="4">
        <v>152877000</v>
      </c>
      <c r="AG22" s="4">
        <v>159615000</v>
      </c>
      <c r="AI22" s="15">
        <v>270170000</v>
      </c>
      <c r="AJ22" s="15">
        <v>80690600</v>
      </c>
      <c r="AK22" s="15">
        <v>85824500</v>
      </c>
      <c r="AL22" s="16"/>
      <c r="AM22" s="4">
        <v>615058000</v>
      </c>
      <c r="AN22" s="4">
        <v>210110000</v>
      </c>
      <c r="AO22" s="4">
        <v>197484000</v>
      </c>
    </row>
    <row r="23" spans="1:41" x14ac:dyDescent="0.55000000000000004">
      <c r="A23" s="3">
        <v>21</v>
      </c>
      <c r="B23" s="3">
        <v>249.483</v>
      </c>
      <c r="C23" s="3">
        <v>530.29</v>
      </c>
      <c r="D23" s="3">
        <v>817.64599999999996</v>
      </c>
      <c r="G23" s="4">
        <v>214729000</v>
      </c>
      <c r="H23" s="4">
        <v>57334100</v>
      </c>
      <c r="I23" s="4">
        <v>59666200</v>
      </c>
      <c r="K23" s="3">
        <v>923292</v>
      </c>
      <c r="L23" s="3">
        <v>246644</v>
      </c>
      <c r="M23" s="3">
        <v>266247</v>
      </c>
      <c r="O23" s="4">
        <v>4979440</v>
      </c>
      <c r="P23" s="4">
        <v>1297520</v>
      </c>
      <c r="Q23" s="4">
        <v>1334110</v>
      </c>
      <c r="S23" s="4">
        <v>924221000</v>
      </c>
      <c r="T23" s="4">
        <v>248052000</v>
      </c>
      <c r="U23" s="4">
        <v>244845000</v>
      </c>
      <c r="W23" s="4">
        <v>497473000</v>
      </c>
      <c r="X23" s="4">
        <v>130277000</v>
      </c>
      <c r="Y23" s="4">
        <v>131366000</v>
      </c>
      <c r="AA23" s="4">
        <v>1127820000</v>
      </c>
      <c r="AB23" s="4">
        <v>343290000</v>
      </c>
      <c r="AC23" s="4">
        <v>302632000</v>
      </c>
      <c r="AE23" s="4">
        <v>553800000</v>
      </c>
      <c r="AF23" s="4">
        <v>156446000</v>
      </c>
      <c r="AG23" s="4">
        <v>164200000</v>
      </c>
      <c r="AI23" s="15">
        <v>298018000</v>
      </c>
      <c r="AJ23" s="15">
        <v>82457500</v>
      </c>
      <c r="AK23" s="15">
        <v>88281600</v>
      </c>
      <c r="AL23" s="16"/>
      <c r="AM23" s="4">
        <v>677142000</v>
      </c>
      <c r="AN23" s="4">
        <v>215987000</v>
      </c>
      <c r="AO23" s="4">
        <v>202670000</v>
      </c>
    </row>
    <row r="24" spans="1:41" x14ac:dyDescent="0.55000000000000004">
      <c r="A24" s="3">
        <v>22</v>
      </c>
      <c r="B24" s="3">
        <v>249.41499999999999</v>
      </c>
      <c r="C24" s="3">
        <v>529.78899999999999</v>
      </c>
      <c r="D24" s="3">
        <v>815.78899999999999</v>
      </c>
      <c r="G24" s="4">
        <v>204479000</v>
      </c>
      <c r="H24" s="4">
        <v>54877700</v>
      </c>
      <c r="I24" s="4">
        <v>59468800</v>
      </c>
      <c r="K24" s="3">
        <v>886362</v>
      </c>
      <c r="L24" s="3">
        <v>236257</v>
      </c>
      <c r="M24" s="3">
        <v>266453</v>
      </c>
      <c r="O24" s="4">
        <v>4621570</v>
      </c>
      <c r="P24" s="4">
        <v>1196870</v>
      </c>
      <c r="Q24" s="4">
        <v>1345890</v>
      </c>
      <c r="S24" s="4">
        <v>857624000</v>
      </c>
      <c r="T24" s="4">
        <v>229554000</v>
      </c>
      <c r="U24" s="4">
        <v>246058000</v>
      </c>
      <c r="W24" s="4">
        <v>463111000</v>
      </c>
      <c r="X24" s="4">
        <v>120428000</v>
      </c>
      <c r="Y24" s="4">
        <v>133086000</v>
      </c>
      <c r="AA24" s="4">
        <v>1045920000</v>
      </c>
      <c r="AB24" s="4">
        <v>318385000</v>
      </c>
      <c r="AC24" s="4">
        <v>303281000</v>
      </c>
      <c r="AE24" s="4">
        <v>537020000</v>
      </c>
      <c r="AF24" s="4">
        <v>151105000</v>
      </c>
      <c r="AG24" s="4">
        <v>168375000</v>
      </c>
      <c r="AI24" s="15">
        <v>289161000</v>
      </c>
      <c r="AJ24" s="15">
        <v>79333100</v>
      </c>
      <c r="AK24" s="15">
        <v>91181800</v>
      </c>
      <c r="AL24" s="16"/>
      <c r="AM24" s="4">
        <v>655784000</v>
      </c>
      <c r="AN24" s="4">
        <v>208938000</v>
      </c>
      <c r="AO24" s="4">
        <v>207547000</v>
      </c>
    </row>
    <row r="25" spans="1:41" x14ac:dyDescent="0.55000000000000004">
      <c r="A25" s="3">
        <v>23</v>
      </c>
      <c r="B25" s="3">
        <v>252.67500000000001</v>
      </c>
      <c r="C25" s="3">
        <v>530.86400000000003</v>
      </c>
      <c r="D25" s="3">
        <v>816.13400000000001</v>
      </c>
      <c r="G25" s="4">
        <v>103032000</v>
      </c>
      <c r="H25" s="4">
        <v>34728100</v>
      </c>
      <c r="I25" s="4">
        <v>54697700</v>
      </c>
      <c r="K25" s="3">
        <v>445010</v>
      </c>
      <c r="L25" s="3">
        <v>150761</v>
      </c>
      <c r="M25" s="3">
        <v>241183</v>
      </c>
      <c r="O25" s="4">
        <v>2366200</v>
      </c>
      <c r="P25" s="4">
        <v>768387</v>
      </c>
      <c r="Q25" s="4">
        <v>1220180</v>
      </c>
      <c r="S25" s="4">
        <v>439001000</v>
      </c>
      <c r="T25" s="4">
        <v>146487000</v>
      </c>
      <c r="U25" s="4">
        <v>224214000</v>
      </c>
      <c r="W25" s="4">
        <v>236172000</v>
      </c>
      <c r="X25" s="4">
        <v>76858700</v>
      </c>
      <c r="Y25" s="4">
        <v>121117000</v>
      </c>
      <c r="AA25" s="4">
        <v>539920000</v>
      </c>
      <c r="AB25" s="4">
        <v>203410000</v>
      </c>
      <c r="AC25" s="4">
        <v>274197000</v>
      </c>
      <c r="AE25" s="4">
        <v>269417000</v>
      </c>
      <c r="AF25" s="4">
        <v>94807500</v>
      </c>
      <c r="AG25" s="4">
        <v>159654000</v>
      </c>
      <c r="AI25" s="15">
        <v>145101000</v>
      </c>
      <c r="AJ25" s="15">
        <v>49648900</v>
      </c>
      <c r="AK25" s="15">
        <v>86392700</v>
      </c>
      <c r="AL25" s="16"/>
      <c r="AM25" s="4">
        <v>332455000</v>
      </c>
      <c r="AN25" s="4">
        <v>131629000</v>
      </c>
      <c r="AO25" s="4">
        <v>195210000</v>
      </c>
    </row>
    <row r="26" spans="1:41" x14ac:dyDescent="0.55000000000000004">
      <c r="A26" s="3">
        <v>24</v>
      </c>
      <c r="B26" s="3">
        <v>249.375</v>
      </c>
      <c r="C26" s="3">
        <v>529.82899999999995</v>
      </c>
      <c r="D26" s="3">
        <v>815.11800000000005</v>
      </c>
      <c r="G26" s="4">
        <v>182125000</v>
      </c>
      <c r="H26" s="4">
        <v>64034700</v>
      </c>
      <c r="I26" s="4">
        <v>48857200</v>
      </c>
      <c r="K26" s="3">
        <v>790682</v>
      </c>
      <c r="L26" s="3">
        <v>279873</v>
      </c>
      <c r="M26" s="3">
        <v>216262</v>
      </c>
      <c r="O26" s="4">
        <v>4040030</v>
      </c>
      <c r="P26" s="4">
        <v>1319560</v>
      </c>
      <c r="Q26" s="4">
        <v>1092510</v>
      </c>
      <c r="S26" s="4">
        <v>751645000</v>
      </c>
      <c r="T26" s="4">
        <v>252686000</v>
      </c>
      <c r="U26" s="4">
        <v>201689000</v>
      </c>
      <c r="W26" s="4">
        <v>404335000</v>
      </c>
      <c r="X26" s="4">
        <v>133147000</v>
      </c>
      <c r="Y26" s="4">
        <v>108685000</v>
      </c>
      <c r="AA26" s="4">
        <v>922444000</v>
      </c>
      <c r="AB26" s="4">
        <v>340510000</v>
      </c>
      <c r="AC26" s="4">
        <v>251106000</v>
      </c>
      <c r="AE26" s="4">
        <v>494471000</v>
      </c>
      <c r="AF26" s="4">
        <v>173803000</v>
      </c>
      <c r="AG26" s="4">
        <v>147524000</v>
      </c>
      <c r="AI26" s="15">
        <v>265576000</v>
      </c>
      <c r="AJ26" s="15">
        <v>91435700</v>
      </c>
      <c r="AK26" s="15">
        <v>79555300</v>
      </c>
      <c r="AL26" s="16"/>
      <c r="AM26" s="4">
        <v>607298000</v>
      </c>
      <c r="AN26" s="4">
        <v>233859000</v>
      </c>
      <c r="AO26" s="4">
        <v>183539000</v>
      </c>
    </row>
    <row r="27" spans="1:41" x14ac:dyDescent="0.55000000000000004">
      <c r="A27" s="3">
        <v>25</v>
      </c>
      <c r="B27" s="3">
        <v>249.029</v>
      </c>
      <c r="C27" s="3">
        <v>529.83900000000006</v>
      </c>
      <c r="D27" s="3">
        <v>815.02200000000005</v>
      </c>
      <c r="G27" s="4">
        <v>174937000</v>
      </c>
      <c r="H27" s="4">
        <v>63310500</v>
      </c>
      <c r="I27" s="4">
        <v>43150200</v>
      </c>
      <c r="K27" s="3">
        <v>751217</v>
      </c>
      <c r="L27" s="3">
        <v>273903</v>
      </c>
      <c r="M27" s="3">
        <v>195827</v>
      </c>
      <c r="O27" s="4">
        <v>3825460</v>
      </c>
      <c r="P27" s="4">
        <v>1256920</v>
      </c>
      <c r="Q27" s="3">
        <v>980539</v>
      </c>
      <c r="S27" s="4">
        <v>715156000</v>
      </c>
      <c r="T27" s="4">
        <v>240820000</v>
      </c>
      <c r="U27" s="4">
        <v>181054000</v>
      </c>
      <c r="W27" s="4">
        <v>384252000</v>
      </c>
      <c r="X27" s="4">
        <v>126491000</v>
      </c>
      <c r="Y27" s="4">
        <v>97441700</v>
      </c>
      <c r="AA27" s="4">
        <v>876083000</v>
      </c>
      <c r="AB27" s="4">
        <v>324552000</v>
      </c>
      <c r="AC27" s="4">
        <v>225825000</v>
      </c>
      <c r="AE27" s="4">
        <v>489216000</v>
      </c>
      <c r="AF27" s="4">
        <v>173132000</v>
      </c>
      <c r="AG27" s="4">
        <v>135318000</v>
      </c>
      <c r="AI27" s="15">
        <v>262150000</v>
      </c>
      <c r="AJ27" s="15">
        <v>90961300</v>
      </c>
      <c r="AK27" s="15">
        <v>72797300</v>
      </c>
      <c r="AL27" s="16"/>
      <c r="AM27" s="4">
        <v>600862000</v>
      </c>
      <c r="AN27" s="4">
        <v>232448000</v>
      </c>
      <c r="AO27" s="4">
        <v>168695000</v>
      </c>
    </row>
    <row r="28" spans="1:41" x14ac:dyDescent="0.55000000000000004">
      <c r="A28" s="3">
        <v>26</v>
      </c>
      <c r="B28" s="3">
        <v>248.64400000000001</v>
      </c>
      <c r="C28" s="3">
        <v>529.57299999999998</v>
      </c>
      <c r="D28" s="3">
        <v>815.86900000000003</v>
      </c>
      <c r="G28" s="4">
        <v>191895000</v>
      </c>
      <c r="H28" s="4">
        <v>59603300</v>
      </c>
      <c r="I28" s="4">
        <v>50420000</v>
      </c>
      <c r="K28" s="3">
        <v>823114</v>
      </c>
      <c r="L28" s="3">
        <v>258033</v>
      </c>
      <c r="M28" s="3">
        <v>229191</v>
      </c>
      <c r="O28" s="4">
        <v>4146100</v>
      </c>
      <c r="P28" s="4">
        <v>1159320</v>
      </c>
      <c r="Q28" s="4">
        <v>1152700</v>
      </c>
      <c r="S28" s="4">
        <v>774075000</v>
      </c>
      <c r="T28" s="4">
        <v>222798000</v>
      </c>
      <c r="U28" s="4">
        <v>209607000</v>
      </c>
      <c r="W28" s="4">
        <v>416668000</v>
      </c>
      <c r="X28" s="4">
        <v>116918000</v>
      </c>
      <c r="Y28" s="4">
        <v>112850000</v>
      </c>
      <c r="AA28" s="4">
        <v>945310000</v>
      </c>
      <c r="AB28" s="4">
        <v>304937000</v>
      </c>
      <c r="AC28" s="4">
        <v>259121000</v>
      </c>
      <c r="AE28" s="4">
        <v>553474000</v>
      </c>
      <c r="AF28" s="4">
        <v>167105000</v>
      </c>
      <c r="AG28" s="4">
        <v>166022000</v>
      </c>
      <c r="AI28" s="15">
        <v>297877000</v>
      </c>
      <c r="AJ28" s="15">
        <v>87651900</v>
      </c>
      <c r="AK28" s="15">
        <v>89280100</v>
      </c>
      <c r="AL28" s="16"/>
      <c r="AM28" s="4">
        <v>677089000</v>
      </c>
      <c r="AN28" s="4">
        <v>228116000</v>
      </c>
      <c r="AO28" s="4">
        <v>204654000</v>
      </c>
    </row>
    <row r="29" spans="1:41" x14ac:dyDescent="0.55000000000000004">
      <c r="A29" s="3">
        <v>27</v>
      </c>
      <c r="B29" s="3">
        <v>249.15199999999999</v>
      </c>
      <c r="C29" s="3">
        <v>528.48299999999995</v>
      </c>
      <c r="D29" s="3">
        <v>814.125</v>
      </c>
      <c r="G29" s="4">
        <v>172778000</v>
      </c>
      <c r="H29" s="4">
        <v>44217800</v>
      </c>
      <c r="I29" s="4">
        <v>46045300</v>
      </c>
      <c r="K29" s="3">
        <v>738657</v>
      </c>
      <c r="L29" s="3">
        <v>192315</v>
      </c>
      <c r="M29" s="3">
        <v>205912</v>
      </c>
      <c r="O29" s="4">
        <v>3674800</v>
      </c>
      <c r="P29" s="4">
        <v>856129</v>
      </c>
      <c r="Q29" s="4">
        <v>1057770</v>
      </c>
      <c r="S29" s="4">
        <v>683812000</v>
      </c>
      <c r="T29" s="4">
        <v>164914000</v>
      </c>
      <c r="U29" s="4">
        <v>193594000</v>
      </c>
      <c r="W29" s="4">
        <v>367431000</v>
      </c>
      <c r="X29" s="4">
        <v>86230800</v>
      </c>
      <c r="Y29" s="4">
        <v>104863000</v>
      </c>
      <c r="AA29" s="4">
        <v>834216000</v>
      </c>
      <c r="AB29" s="4">
        <v>231511000</v>
      </c>
      <c r="AC29" s="4">
        <v>238009000</v>
      </c>
      <c r="AE29" s="4">
        <v>518698000</v>
      </c>
      <c r="AF29" s="4">
        <v>128006000</v>
      </c>
      <c r="AG29" s="4">
        <v>161270000</v>
      </c>
      <c r="AI29" s="15">
        <v>277646000</v>
      </c>
      <c r="AJ29" s="15">
        <v>66821400</v>
      </c>
      <c r="AK29" s="15">
        <v>87335500</v>
      </c>
      <c r="AL29" s="16"/>
      <c r="AM29" s="4">
        <v>633276000</v>
      </c>
      <c r="AN29" s="4">
        <v>179125000</v>
      </c>
      <c r="AO29" s="4">
        <v>197656000</v>
      </c>
    </row>
    <row r="30" spans="1:41" x14ac:dyDescent="0.55000000000000004">
      <c r="A30" s="3">
        <v>28</v>
      </c>
      <c r="B30" s="3">
        <v>249.19900000000001</v>
      </c>
      <c r="C30" s="3">
        <v>527.15700000000004</v>
      </c>
      <c r="D30" s="3">
        <v>814.31500000000005</v>
      </c>
      <c r="G30" s="4">
        <v>157839000</v>
      </c>
      <c r="H30" s="4">
        <v>44737500</v>
      </c>
      <c r="I30" s="4">
        <v>47413400</v>
      </c>
      <c r="K30" s="3">
        <v>680522</v>
      </c>
      <c r="L30" s="3">
        <v>191941</v>
      </c>
      <c r="M30" s="3">
        <v>210906</v>
      </c>
      <c r="O30" s="4">
        <v>3297110</v>
      </c>
      <c r="P30" s="4">
        <v>839250</v>
      </c>
      <c r="Q30" s="4">
        <v>1080090</v>
      </c>
      <c r="S30" s="4">
        <v>619192000</v>
      </c>
      <c r="T30" s="4">
        <v>162526000</v>
      </c>
      <c r="U30" s="4">
        <v>199065000</v>
      </c>
      <c r="W30" s="4">
        <v>332370000</v>
      </c>
      <c r="X30" s="4">
        <v>84461900</v>
      </c>
      <c r="Y30" s="4">
        <v>107581000</v>
      </c>
      <c r="AA30" s="4">
        <v>756047000</v>
      </c>
      <c r="AB30" s="4">
        <v>226037000</v>
      </c>
      <c r="AC30" s="4">
        <v>244013000</v>
      </c>
      <c r="AE30" s="4">
        <v>494629000</v>
      </c>
      <c r="AF30" s="4">
        <v>133562000</v>
      </c>
      <c r="AG30" s="4">
        <v>179539000</v>
      </c>
      <c r="AI30" s="15">
        <v>265601000</v>
      </c>
      <c r="AJ30" s="15">
        <v>69374300</v>
      </c>
      <c r="AK30" s="15">
        <v>97070400</v>
      </c>
      <c r="AL30" s="16"/>
      <c r="AM30" s="4">
        <v>604442000</v>
      </c>
      <c r="AN30" s="4">
        <v>185067000</v>
      </c>
      <c r="AO30" s="4">
        <v>219047000</v>
      </c>
    </row>
    <row r="31" spans="1:41" x14ac:dyDescent="0.55000000000000004">
      <c r="A31" s="3">
        <v>29</v>
      </c>
      <c r="B31" s="3">
        <v>249.083</v>
      </c>
      <c r="C31" s="3">
        <v>527.71400000000006</v>
      </c>
      <c r="D31" s="3">
        <v>812.32600000000002</v>
      </c>
      <c r="G31" s="4">
        <v>145787000</v>
      </c>
      <c r="H31" s="4">
        <v>47899800</v>
      </c>
      <c r="I31" s="4">
        <v>36926000</v>
      </c>
      <c r="K31" s="3">
        <v>632223</v>
      </c>
      <c r="L31" s="3">
        <v>207539</v>
      </c>
      <c r="M31" s="3">
        <v>165993</v>
      </c>
      <c r="O31" s="4">
        <v>3006110</v>
      </c>
      <c r="P31" s="4">
        <v>858865</v>
      </c>
      <c r="Q31" s="3">
        <v>840273</v>
      </c>
      <c r="S31" s="4">
        <v>562640000</v>
      </c>
      <c r="T31" s="4">
        <v>165230000</v>
      </c>
      <c r="U31" s="4">
        <v>154874000</v>
      </c>
      <c r="W31" s="4">
        <v>302275000</v>
      </c>
      <c r="X31" s="4">
        <v>86384300</v>
      </c>
      <c r="Y31" s="4">
        <v>83706200</v>
      </c>
      <c r="AA31" s="4">
        <v>688230000</v>
      </c>
      <c r="AB31" s="4">
        <v>225840000</v>
      </c>
      <c r="AC31" s="4">
        <v>191148000</v>
      </c>
      <c r="AE31" s="4">
        <v>480714000</v>
      </c>
      <c r="AF31" s="4">
        <v>147901000</v>
      </c>
      <c r="AG31" s="4">
        <v>149292000</v>
      </c>
      <c r="AI31" s="15">
        <v>257984000</v>
      </c>
      <c r="AJ31" s="15">
        <v>77408400</v>
      </c>
      <c r="AK31" s="15">
        <v>80627200</v>
      </c>
      <c r="AL31" s="16"/>
      <c r="AM31" s="4">
        <v>587718000</v>
      </c>
      <c r="AN31" s="4">
        <v>200788000</v>
      </c>
      <c r="AO31" s="4">
        <v>183232000</v>
      </c>
    </row>
    <row r="32" spans="1:41" x14ac:dyDescent="0.55000000000000004">
      <c r="A32" s="3">
        <v>30</v>
      </c>
      <c r="B32" s="3">
        <v>248.33500000000001</v>
      </c>
      <c r="C32" s="3">
        <v>527.48299999999995</v>
      </c>
      <c r="D32" s="3">
        <v>811.22799999999995</v>
      </c>
      <c r="G32" s="4">
        <v>118144000</v>
      </c>
      <c r="H32" s="4">
        <v>29955900</v>
      </c>
      <c r="I32" s="4">
        <v>28379900</v>
      </c>
      <c r="K32" s="3">
        <v>516230</v>
      </c>
      <c r="L32" s="3">
        <v>131382</v>
      </c>
      <c r="M32" s="3">
        <v>126710</v>
      </c>
      <c r="O32" s="4">
        <v>2446100</v>
      </c>
      <c r="P32" s="4">
        <v>542473</v>
      </c>
      <c r="Q32" s="3">
        <v>663421</v>
      </c>
      <c r="S32" s="4">
        <v>452171000</v>
      </c>
      <c r="T32" s="4">
        <v>104615000</v>
      </c>
      <c r="U32" s="4">
        <v>122290000</v>
      </c>
      <c r="W32" s="4">
        <v>243962000</v>
      </c>
      <c r="X32" s="4">
        <v>54415500</v>
      </c>
      <c r="Y32" s="4">
        <v>65821000</v>
      </c>
      <c r="AA32" s="4">
        <v>552318000</v>
      </c>
      <c r="AB32" s="4">
        <v>148059000</v>
      </c>
      <c r="AC32" s="4">
        <v>150654000</v>
      </c>
      <c r="AE32" s="4">
        <v>417277000</v>
      </c>
      <c r="AF32" s="4">
        <v>98685800</v>
      </c>
      <c r="AG32" s="4">
        <v>124955000</v>
      </c>
      <c r="AI32" s="15">
        <v>225502000</v>
      </c>
      <c r="AJ32" s="15">
        <v>51446900</v>
      </c>
      <c r="AK32" s="15">
        <v>67249500</v>
      </c>
      <c r="AL32" s="16"/>
      <c r="AM32" s="4">
        <v>509434000</v>
      </c>
      <c r="AN32" s="4">
        <v>138719000</v>
      </c>
      <c r="AO32" s="4">
        <v>152831000</v>
      </c>
    </row>
    <row r="33" spans="1:41" x14ac:dyDescent="0.55000000000000004">
      <c r="A33" s="3">
        <v>31</v>
      </c>
      <c r="B33" s="3">
        <v>249.626</v>
      </c>
      <c r="C33" s="3">
        <v>525.01400000000001</v>
      </c>
      <c r="D33" s="3">
        <v>808.51099999999997</v>
      </c>
      <c r="G33" s="4">
        <v>98194900</v>
      </c>
      <c r="H33" s="4">
        <v>21525600</v>
      </c>
      <c r="I33" s="4">
        <v>25426400</v>
      </c>
      <c r="K33" s="3">
        <v>428421</v>
      </c>
      <c r="L33" s="3">
        <v>94084.6</v>
      </c>
      <c r="M33" s="3">
        <v>112817</v>
      </c>
      <c r="O33" s="4">
        <v>1984990</v>
      </c>
      <c r="P33" s="4">
        <v>395892</v>
      </c>
      <c r="Q33" s="3">
        <v>594879</v>
      </c>
      <c r="S33" s="4">
        <v>369249000</v>
      </c>
      <c r="T33" s="4">
        <v>76398400</v>
      </c>
      <c r="U33" s="4">
        <v>109671000</v>
      </c>
      <c r="W33" s="4">
        <v>198879000</v>
      </c>
      <c r="X33" s="4">
        <v>39449800</v>
      </c>
      <c r="Y33" s="4">
        <v>59002600</v>
      </c>
      <c r="AA33" s="4">
        <v>451659000</v>
      </c>
      <c r="AB33" s="4">
        <v>110676000</v>
      </c>
      <c r="AC33" s="4">
        <v>134877000</v>
      </c>
      <c r="AE33" s="4">
        <v>373054000</v>
      </c>
      <c r="AF33" s="4">
        <v>75494200</v>
      </c>
      <c r="AG33" s="4">
        <v>122671000</v>
      </c>
      <c r="AI33" s="15">
        <v>201000000</v>
      </c>
      <c r="AJ33" s="15">
        <v>39132600</v>
      </c>
      <c r="AK33" s="15">
        <v>66270100</v>
      </c>
      <c r="AL33" s="16"/>
      <c r="AM33" s="4">
        <v>455413000</v>
      </c>
      <c r="AN33" s="4">
        <v>108814000</v>
      </c>
      <c r="AO33" s="4">
        <v>149421000</v>
      </c>
    </row>
    <row r="34" spans="1:41" x14ac:dyDescent="0.55000000000000004">
      <c r="A34" s="3">
        <v>32</v>
      </c>
      <c r="B34" s="3">
        <v>248.34200000000001</v>
      </c>
      <c r="C34" s="3">
        <v>525.95299999999997</v>
      </c>
      <c r="D34" s="3">
        <v>802.51599999999996</v>
      </c>
      <c r="G34" s="4">
        <v>84294300</v>
      </c>
      <c r="H34" s="4">
        <v>24818800</v>
      </c>
      <c r="I34" s="4">
        <v>19810400</v>
      </c>
      <c r="K34" s="3">
        <v>366061</v>
      </c>
      <c r="L34" s="3">
        <v>108441</v>
      </c>
      <c r="M34" s="3">
        <v>87827.4</v>
      </c>
      <c r="O34" s="4">
        <v>1636620</v>
      </c>
      <c r="P34" s="4">
        <v>425197</v>
      </c>
      <c r="Q34" s="3">
        <v>467398</v>
      </c>
      <c r="S34" s="4">
        <v>307232000</v>
      </c>
      <c r="T34" s="4">
        <v>82263200</v>
      </c>
      <c r="U34" s="4">
        <v>84786500</v>
      </c>
      <c r="W34" s="4">
        <v>164546000</v>
      </c>
      <c r="X34" s="4">
        <v>42888000</v>
      </c>
      <c r="Y34" s="4">
        <v>45928800</v>
      </c>
      <c r="AA34" s="4">
        <v>376430000</v>
      </c>
      <c r="AB34" s="4">
        <v>114431000</v>
      </c>
      <c r="AC34" s="4">
        <v>104719000</v>
      </c>
      <c r="AE34" s="4">
        <v>354688000</v>
      </c>
      <c r="AF34" s="4">
        <v>94142500</v>
      </c>
      <c r="AG34" s="4">
        <v>108697000</v>
      </c>
      <c r="AI34" s="15">
        <v>190436000</v>
      </c>
      <c r="AJ34" s="15">
        <v>49064200</v>
      </c>
      <c r="AK34" s="15">
        <v>59054600</v>
      </c>
      <c r="AL34" s="16"/>
      <c r="AM34" s="4">
        <v>433463000</v>
      </c>
      <c r="AN34" s="4">
        <v>129628000</v>
      </c>
      <c r="AO34" s="4">
        <v>132477000</v>
      </c>
    </row>
    <row r="35" spans="1:41" x14ac:dyDescent="0.55000000000000004">
      <c r="AI35" s="16"/>
      <c r="AJ35" s="16"/>
      <c r="AK35" s="16"/>
      <c r="AL35" s="16"/>
    </row>
    <row r="36" spans="1:41" x14ac:dyDescent="0.55000000000000004">
      <c r="B36">
        <f>AVERAGE(B3:B34)</f>
        <v>249.81106249999999</v>
      </c>
      <c r="C36">
        <f t="shared" ref="C36:D36" si="0">AVERAGE(C3:C34)</f>
        <v>530.22074999999995</v>
      </c>
      <c r="D36">
        <f t="shared" si="0"/>
        <v>816.26821874999985</v>
      </c>
      <c r="G36" s="7" t="s">
        <v>5</v>
      </c>
      <c r="H36" s="7"/>
      <c r="I36" s="7"/>
      <c r="K36" s="7" t="s">
        <v>5</v>
      </c>
      <c r="L36" s="7"/>
      <c r="M36" s="7"/>
      <c r="O36" s="7" t="s">
        <v>5</v>
      </c>
      <c r="P36" s="7"/>
      <c r="Q36" s="7"/>
      <c r="S36" s="8" t="s">
        <v>9</v>
      </c>
      <c r="T36" s="9"/>
      <c r="U36" s="10"/>
      <c r="W36" s="8" t="s">
        <v>9</v>
      </c>
      <c r="X36" s="9"/>
      <c r="Y36" s="10"/>
      <c r="AA36" s="8" t="s">
        <v>9</v>
      </c>
      <c r="AB36" s="9"/>
      <c r="AC36" s="10"/>
      <c r="AE36" s="8" t="s">
        <v>15</v>
      </c>
      <c r="AF36" s="9"/>
      <c r="AG36" s="10"/>
      <c r="AI36" s="11" t="s">
        <v>16</v>
      </c>
      <c r="AJ36" s="12"/>
      <c r="AK36" s="13"/>
      <c r="AL36" s="16"/>
      <c r="AM36" s="8" t="s">
        <v>15</v>
      </c>
      <c r="AN36" s="9"/>
      <c r="AO36" s="10"/>
    </row>
    <row r="37" spans="1:41" x14ac:dyDescent="0.55000000000000004">
      <c r="G37" s="2" t="s">
        <v>2</v>
      </c>
      <c r="H37" s="2" t="s">
        <v>3</v>
      </c>
      <c r="I37" s="2" t="s">
        <v>4</v>
      </c>
      <c r="K37" s="2" t="s">
        <v>2</v>
      </c>
      <c r="L37" s="2" t="s">
        <v>3</v>
      </c>
      <c r="M37" s="2" t="s">
        <v>4</v>
      </c>
      <c r="O37" s="2" t="s">
        <v>2</v>
      </c>
      <c r="P37" s="2" t="s">
        <v>3</v>
      </c>
      <c r="Q37" s="2" t="s">
        <v>4</v>
      </c>
      <c r="S37" s="2" t="s">
        <v>2</v>
      </c>
      <c r="T37" s="2" t="s">
        <v>3</v>
      </c>
      <c r="U37" s="2" t="s">
        <v>4</v>
      </c>
      <c r="W37" s="2" t="s">
        <v>2</v>
      </c>
      <c r="X37" s="2" t="s">
        <v>3</v>
      </c>
      <c r="Y37" s="2" t="s">
        <v>4</v>
      </c>
      <c r="AA37" s="2" t="s">
        <v>2</v>
      </c>
      <c r="AB37" s="2" t="s">
        <v>3</v>
      </c>
      <c r="AC37" s="2" t="s">
        <v>4</v>
      </c>
      <c r="AE37" s="2" t="s">
        <v>2</v>
      </c>
      <c r="AF37" s="2" t="s">
        <v>3</v>
      </c>
      <c r="AG37" s="2" t="s">
        <v>4</v>
      </c>
      <c r="AI37" s="14" t="s">
        <v>2</v>
      </c>
      <c r="AJ37" s="14" t="s">
        <v>3</v>
      </c>
      <c r="AK37" s="14" t="s">
        <v>4</v>
      </c>
      <c r="AL37" s="16"/>
      <c r="AM37" s="2" t="s">
        <v>2</v>
      </c>
      <c r="AN37" s="2" t="s">
        <v>3</v>
      </c>
      <c r="AO37" s="2" t="s">
        <v>4</v>
      </c>
    </row>
    <row r="38" spans="1:41" x14ac:dyDescent="0.55000000000000004">
      <c r="G38" s="6">
        <f>MAX($G$3:$I$34)/G3</f>
        <v>2.9688064845237427</v>
      </c>
      <c r="H38" s="6">
        <f t="shared" ref="H38:I38" si="1">MAX($G$3:$I$34)/H3</f>
        <v>2.2418839687339811</v>
      </c>
      <c r="I38" s="6">
        <f t="shared" si="1"/>
        <v>8.6721316604611864</v>
      </c>
      <c r="K38" s="6">
        <f>MAX($K$3:$M$34)/K3</f>
        <v>2.9914319501517972</v>
      </c>
      <c r="L38" s="6">
        <f t="shared" ref="L38:M38" si="2">MAX($K$3:$M$34)/L3</f>
        <v>2.2097444833197346</v>
      </c>
      <c r="M38" s="6">
        <f t="shared" si="2"/>
        <v>8.4472100584156404</v>
      </c>
      <c r="O38" s="6">
        <f>MAX($O$3:$Q$34)/O3</f>
        <v>3.4669810340887848</v>
      </c>
      <c r="P38" s="6">
        <f>MAX($O$3:$Q$34)/P3</f>
        <v>3.0743078538403443</v>
      </c>
      <c r="Q38" s="6">
        <f>MAX($O$3:$Q$34)/Q3</f>
        <v>8.1270979554470557</v>
      </c>
      <c r="S38" s="6">
        <f>MAX($S$3:$U$34)/S3</f>
        <v>3.4449051416002199</v>
      </c>
      <c r="T38" s="6">
        <f>MAX($S$3:$U$34)/T3</f>
        <v>3.0640937014960414</v>
      </c>
      <c r="U38" s="6">
        <f>MAX($S$3:$U$34)/U3</f>
        <v>8.2817810054290355</v>
      </c>
      <c r="W38" s="6">
        <f>MAX($W$3:$Y$34)/W3</f>
        <v>3.4452440958940795</v>
      </c>
      <c r="X38" s="6">
        <f>MAX($W$3:$Y$34)/X3</f>
        <v>3.0620536858680922</v>
      </c>
      <c r="Y38" s="6">
        <f>MAX($W$3:$Y$34)/Y3</f>
        <v>8.2286436900003448</v>
      </c>
      <c r="AA38" s="6">
        <f>MAX($AA$3:$AC$34)/AA3</f>
        <v>3.3825868394167364</v>
      </c>
      <c r="AB38" s="6">
        <f>MAX($AA$3:$AC$34)/AB3</f>
        <v>3.0184403408355132</v>
      </c>
      <c r="AC38" s="6">
        <f>MAX($AA$3:$AC$34)/AC3</f>
        <v>7.8256986691376929</v>
      </c>
      <c r="AE38" s="6">
        <f>MAX($AE$3:$AG$34)/AE3</f>
        <v>1.8803604533508989</v>
      </c>
      <c r="AF38" s="6">
        <f>MAX($AE$3:$AG$34)/AF3</f>
        <v>1.5898169040770278</v>
      </c>
      <c r="AG38" s="6">
        <f>MAX($AE$3:$AG$34)/AG3</f>
        <v>4.1814214416767967</v>
      </c>
      <c r="AI38" s="17">
        <f>MAX($AI$3:$AK$34)/AI3</f>
        <v>1.8960179665481196</v>
      </c>
      <c r="AJ38" s="17">
        <f>MAX($AI$3:$AK$34)/AJ3</f>
        <v>1.5975491431113875</v>
      </c>
      <c r="AK38" s="17">
        <f>MAX($AI$3:$AK$34)/AK3</f>
        <v>4.1823507040099024</v>
      </c>
      <c r="AL38" s="16"/>
      <c r="AM38" s="6">
        <f>MAX($AM$3:$AO$34)/AM3</f>
        <v>1.821282753352663</v>
      </c>
      <c r="AN38" s="6">
        <f>MAX($AM$3:$AO$34)/AN3</f>
        <v>1.5514553586157596</v>
      </c>
      <c r="AO38" s="6">
        <f>MAX($AM$3:$AO$34)/AO3</f>
        <v>3.9318658220057019</v>
      </c>
    </row>
    <row r="39" spans="1:41" x14ac:dyDescent="0.55000000000000004">
      <c r="G39" s="6">
        <f t="shared" ref="G39:I39" si="3">MAX($G$3:$I$34)/G4</f>
        <v>1.8335896799801539</v>
      </c>
      <c r="H39" s="6">
        <f t="shared" si="3"/>
        <v>1.9965244325190661</v>
      </c>
      <c r="I39" s="6">
        <f t="shared" si="3"/>
        <v>7.6426956377874591</v>
      </c>
      <c r="K39" s="6">
        <f t="shared" ref="K39:M39" si="4">MAX($K$3:$M$34)/K4</f>
        <v>1.8451295414567304</v>
      </c>
      <c r="L39" s="6">
        <f t="shared" si="4"/>
        <v>2.0033872733807536</v>
      </c>
      <c r="M39" s="6">
        <f t="shared" si="4"/>
        <v>7.344980808862398</v>
      </c>
      <c r="O39" s="6">
        <f>MAX($O$3:$Q$34)/O4</f>
        <v>2.1324965607710689</v>
      </c>
      <c r="P39" s="6">
        <f>MAX($O$3:$Q$34)/P4</f>
        <v>2.6682458645975444</v>
      </c>
      <c r="Q39" s="6">
        <f>MAX($O$3:$Q$34)/Q4</f>
        <v>7.3070322145652913</v>
      </c>
      <c r="S39" s="6">
        <f>MAX($S$3:$U$34)/S4</f>
        <v>2.133424753324948</v>
      </c>
      <c r="T39" s="6">
        <f>MAX($S$3:$U$34)/T4</f>
        <v>2.6616097957518887</v>
      </c>
      <c r="U39" s="6">
        <f>MAX($S$3:$U$34)/U4</f>
        <v>7.5274081787960103</v>
      </c>
      <c r="W39" s="6">
        <f>MAX($W$3:$Y$34)/W4</f>
        <v>2.1267910738812676</v>
      </c>
      <c r="X39" s="6">
        <f>MAX($W$3:$Y$34)/X4</f>
        <v>2.6628150758729769</v>
      </c>
      <c r="Y39" s="6">
        <f>MAX($W$3:$Y$34)/Y4</f>
        <v>7.5150993139399027</v>
      </c>
      <c r="AA39" s="6">
        <f>MAX($AA$3:$AC$34)/AA4</f>
        <v>2.122484734026957</v>
      </c>
      <c r="AB39" s="6">
        <f>MAX($AA$3:$AC$34)/AB4</f>
        <v>2.5943684984962925</v>
      </c>
      <c r="AC39" s="6">
        <f>MAX($AA$3:$AC$34)/AC4</f>
        <v>7.0944629769412453</v>
      </c>
      <c r="AE39" s="6">
        <f>MAX($AE$3:$AG$34)/AE4</f>
        <v>1.2657504565432534</v>
      </c>
      <c r="AF39" s="6">
        <f>MAX($AE$3:$AG$34)/AF4</f>
        <v>1.5197877017396053</v>
      </c>
      <c r="AG39" s="6">
        <f>MAX($AE$3:$AG$34)/AG4</f>
        <v>4.065989735908901</v>
      </c>
      <c r="AI39" s="17">
        <f>MAX($AI$3:$AK$34)/AI4</f>
        <v>1.2737336091498128</v>
      </c>
      <c r="AJ39" s="17">
        <f>MAX($AI$3:$AK$34)/AJ4</f>
        <v>1.5313680251170296</v>
      </c>
      <c r="AK39" s="17">
        <f>MAX($AI$3:$AK$34)/AK4</f>
        <v>4.0844190196341792</v>
      </c>
      <c r="AL39" s="16"/>
      <c r="AM39" s="6">
        <f>MAX($AM$3:$AO$34)/AM4</f>
        <v>1.2425672625579407</v>
      </c>
      <c r="AN39" s="6">
        <f>MAX($AM$3:$AO$34)/AN4</f>
        <v>1.4649333454484093</v>
      </c>
      <c r="AO39" s="6">
        <f>MAX($AM$3:$AO$34)/AO4</f>
        <v>3.7999203138064748</v>
      </c>
    </row>
    <row r="40" spans="1:41" x14ac:dyDescent="0.55000000000000004">
      <c r="G40" s="6">
        <f t="shared" ref="G40:I40" si="5">MAX($G$3:$I$34)/G5</f>
        <v>1.6111724699180376</v>
      </c>
      <c r="H40" s="6">
        <f t="shared" si="5"/>
        <v>1.5552344747289126</v>
      </c>
      <c r="I40" s="6">
        <f t="shared" si="5"/>
        <v>6.157810985617445</v>
      </c>
      <c r="K40" s="6">
        <f t="shared" ref="K40:M40" si="6">MAX($K$3:$M$34)/K5</f>
        <v>1.6115218078275544</v>
      </c>
      <c r="L40" s="6">
        <f t="shared" si="6"/>
        <v>1.5500085686478027</v>
      </c>
      <c r="M40" s="6">
        <f t="shared" si="6"/>
        <v>5.9123021232247366</v>
      </c>
      <c r="O40" s="6">
        <f>MAX($O$3:$Q$34)/O5</f>
        <v>1.8256004317055652</v>
      </c>
      <c r="P40" s="6">
        <f>MAX($O$3:$Q$34)/P5</f>
        <v>1.9997004588969698</v>
      </c>
      <c r="Q40" s="6">
        <f>MAX($O$3:$Q$34)/Q5</f>
        <v>5.9113110312217758</v>
      </c>
      <c r="S40" s="6">
        <f>MAX($S$3:$U$34)/S5</f>
        <v>1.8286059002101658</v>
      </c>
      <c r="T40" s="6">
        <f>MAX($S$3:$U$34)/T5</f>
        <v>1.9960744828640982</v>
      </c>
      <c r="U40" s="6">
        <f>MAX($S$3:$U$34)/U5</f>
        <v>6.0488966707006204</v>
      </c>
      <c r="W40" s="6">
        <f>MAX($W$3:$Y$34)/W5</f>
        <v>1.8233303773914056</v>
      </c>
      <c r="X40" s="6">
        <f>MAX($W$3:$Y$34)/X5</f>
        <v>1.9957236737421633</v>
      </c>
      <c r="Y40" s="6">
        <f>MAX($W$3:$Y$34)/Y5</f>
        <v>6.0564463362636145</v>
      </c>
      <c r="AA40" s="6">
        <f>MAX($AA$3:$AC$34)/AA5</f>
        <v>1.8167519353018384</v>
      </c>
      <c r="AB40" s="6">
        <f>MAX($AA$3:$AC$34)/AB5</f>
        <v>1.9648056267838689</v>
      </c>
      <c r="AC40" s="6">
        <f>MAX($AA$3:$AC$34)/AC5</f>
        <v>5.6747136958554067</v>
      </c>
      <c r="AE40" s="6">
        <f>MAX($AE$3:$AG$34)/AE5</f>
        <v>1.1939719293706745</v>
      </c>
      <c r="AF40" s="6">
        <f>MAX($AE$3:$AG$34)/AF5</f>
        <v>1.2603062694433762</v>
      </c>
      <c r="AG40" s="6">
        <f>MAX($AE$3:$AG$34)/AG5</f>
        <v>3.6577874943032831</v>
      </c>
      <c r="AI40" s="17">
        <f>MAX($AI$3:$AK$34)/AI5</f>
        <v>1.2034081043429101</v>
      </c>
      <c r="AJ40" s="17">
        <f>MAX($AI$3:$AK$34)/AJ5</f>
        <v>1.2716628334179636</v>
      </c>
      <c r="AK40" s="17">
        <f>MAX($AI$3:$AK$34)/AK5</f>
        <v>3.6786759541452345</v>
      </c>
      <c r="AL40" s="16"/>
      <c r="AM40" s="6">
        <f>MAX($AM$3:$AO$34)/AM5</f>
        <v>1.1700846016671504</v>
      </c>
      <c r="AN40" s="6">
        <f>MAX($AM$3:$AO$34)/AN5</f>
        <v>1.2234948477637506</v>
      </c>
      <c r="AO40" s="6">
        <f>MAX($AM$3:$AO$34)/AO5</f>
        <v>3.4036130044031605</v>
      </c>
    </row>
    <row r="41" spans="1:41" x14ac:dyDescent="0.55000000000000004">
      <c r="G41" s="6">
        <f t="shared" ref="G41:I41" si="7">MAX($G$3:$I$34)/G6</f>
        <v>1.6852953918416673</v>
      </c>
      <c r="H41" s="6">
        <f t="shared" si="7"/>
        <v>1.4944095109080249</v>
      </c>
      <c r="I41" s="6">
        <f t="shared" si="7"/>
        <v>5.4109269802070799</v>
      </c>
      <c r="K41" s="6">
        <f t="shared" ref="K41:M41" si="8">MAX($K$3:$M$34)/K6</f>
        <v>1.7135439845720219</v>
      </c>
      <c r="L41" s="6">
        <f t="shared" si="8"/>
        <v>1.4831425389065933</v>
      </c>
      <c r="M41" s="6">
        <f t="shared" si="8"/>
        <v>5.2520652555000442</v>
      </c>
      <c r="O41" s="6">
        <f>MAX($O$3:$Q$34)/O6</f>
        <v>1.8865026167358057</v>
      </c>
      <c r="P41" s="6">
        <f>MAX($O$3:$Q$34)/P6</f>
        <v>1.8791321383534498</v>
      </c>
      <c r="Q41" s="6">
        <f>MAX($O$3:$Q$34)/Q6</f>
        <v>5.2158300735979664</v>
      </c>
      <c r="S41" s="6">
        <f>MAX($S$3:$U$34)/S6</f>
        <v>1.8805828565253153</v>
      </c>
      <c r="T41" s="6">
        <f>MAX($S$3:$U$34)/T6</f>
        <v>1.8843048787824099</v>
      </c>
      <c r="U41" s="6">
        <f>MAX($S$3:$U$34)/U6</f>
        <v>5.3214259421808192</v>
      </c>
      <c r="W41" s="6">
        <f>MAX($W$3:$Y$34)/W6</f>
        <v>1.8779941828908113</v>
      </c>
      <c r="X41" s="6">
        <f>MAX($W$3:$Y$34)/X6</f>
        <v>1.8776427526170221</v>
      </c>
      <c r="Y41" s="6">
        <f>MAX($W$3:$Y$34)/Y6</f>
        <v>5.3266705667881649</v>
      </c>
      <c r="AA41" s="6">
        <f>MAX($AA$3:$AC$34)/AA6</f>
        <v>1.8616282078723656</v>
      </c>
      <c r="AB41" s="6">
        <f>MAX($AA$3:$AC$34)/AB6</f>
        <v>1.8560987923293883</v>
      </c>
      <c r="AC41" s="6">
        <f>MAX($AA$3:$AC$34)/AC6</f>
        <v>5.0310162182229456</v>
      </c>
      <c r="AE41" s="6">
        <f>MAX($AE$3:$AG$34)/AE6</f>
        <v>1.3453372331432014</v>
      </c>
      <c r="AF41" s="6">
        <f>MAX($AE$3:$AG$34)/AF6</f>
        <v>1.2683740168841697</v>
      </c>
      <c r="AG41" s="6">
        <f>MAX($AE$3:$AG$34)/AG6</f>
        <v>3.4191516947582885</v>
      </c>
      <c r="AI41" s="17">
        <f>MAX($AI$3:$AK$34)/AI6</f>
        <v>1.3581089702692357</v>
      </c>
      <c r="AJ41" s="17">
        <f>MAX($AI$3:$AK$34)/AJ6</f>
        <v>1.2733635276021193</v>
      </c>
      <c r="AK41" s="17">
        <f>MAX($AI$3:$AK$34)/AK6</f>
        <v>3.4465857731682155</v>
      </c>
      <c r="AL41" s="16"/>
      <c r="AM41" s="6">
        <f>MAX($AM$3:$AO$34)/AM6</f>
        <v>1.3113935621561219</v>
      </c>
      <c r="AN41" s="6">
        <f>MAX($AM$3:$AO$34)/AN6</f>
        <v>1.2339717539863326</v>
      </c>
      <c r="AO41" s="6">
        <f>MAX($AM$3:$AO$34)/AO6</f>
        <v>3.2051328170854081</v>
      </c>
    </row>
    <row r="42" spans="1:41" x14ac:dyDescent="0.55000000000000004">
      <c r="G42" s="6">
        <f t="shared" ref="G42:I42" si="9">MAX($G$3:$I$34)/G7</f>
        <v>1.4743477220138834</v>
      </c>
      <c r="H42" s="6">
        <f t="shared" si="9"/>
        <v>1.4923777922855854</v>
      </c>
      <c r="I42" s="6">
        <f t="shared" si="9"/>
        <v>4.535109176736233</v>
      </c>
      <c r="K42" s="6">
        <f t="shared" ref="K42:M42" si="10">MAX($K$3:$M$34)/K7</f>
        <v>1.4745450938111841</v>
      </c>
      <c r="L42" s="6">
        <f t="shared" si="10"/>
        <v>1.4916945951076217</v>
      </c>
      <c r="M42" s="6">
        <f t="shared" si="10"/>
        <v>4.4193871059934171</v>
      </c>
      <c r="O42" s="6">
        <f>MAX($O$3:$Q$34)/O7</f>
        <v>1.6073702154434875</v>
      </c>
      <c r="P42" s="6">
        <f>MAX($O$3:$Q$34)/P7</f>
        <v>1.8295094546451083</v>
      </c>
      <c r="Q42" s="6">
        <f>MAX($O$3:$Q$34)/Q7</f>
        <v>4.3926042900381628</v>
      </c>
      <c r="S42" s="6">
        <f>MAX($S$3:$U$34)/S7</f>
        <v>1.6131415681575505</v>
      </c>
      <c r="T42" s="6">
        <f>MAX($S$3:$U$34)/T7</f>
        <v>1.8306507229605733</v>
      </c>
      <c r="U42" s="6">
        <f>MAX($S$3:$U$34)/U7</f>
        <v>4.5011783640857619</v>
      </c>
      <c r="W42" s="6">
        <f>MAX($W$3:$Y$34)/W7</f>
        <v>1.6086090804155444</v>
      </c>
      <c r="X42" s="6">
        <f>MAX($W$3:$Y$34)/X7</f>
        <v>1.8254666521122149</v>
      </c>
      <c r="Y42" s="6">
        <f>MAX($W$3:$Y$34)/Y7</f>
        <v>4.4758850189137105</v>
      </c>
      <c r="AA42" s="6">
        <f>MAX($AA$3:$AC$34)/AA7</f>
        <v>1.6046001888979757</v>
      </c>
      <c r="AB42" s="6">
        <f>MAX($AA$3:$AC$34)/AB7</f>
        <v>1.7926331996683755</v>
      </c>
      <c r="AC42" s="6">
        <f>MAX($AA$3:$AC$34)/AC7</f>
        <v>4.295053934629828</v>
      </c>
      <c r="AE42" s="6">
        <f>MAX($AE$3:$AG$34)/AE7</f>
        <v>1.2529525154073793</v>
      </c>
      <c r="AF42" s="6">
        <f>MAX($AE$3:$AG$34)/AF7</f>
        <v>1.3326531299781983</v>
      </c>
      <c r="AG42" s="6">
        <f>MAX($AE$3:$AG$34)/AG7</f>
        <v>3.0938201807801029</v>
      </c>
      <c r="AI42" s="17">
        <f>MAX($AI$3:$AK$34)/AI7</f>
        <v>1.2582987814661251</v>
      </c>
      <c r="AJ42" s="17">
        <f>MAX($AI$3:$AK$34)/AJ7</f>
        <v>1.3391058189170972</v>
      </c>
      <c r="AK42" s="17">
        <f>MAX($AI$3:$AK$34)/AK7</f>
        <v>3.1038594890605977</v>
      </c>
      <c r="AL42" s="16"/>
      <c r="AM42" s="6">
        <f>MAX($AM$3:$AO$34)/AM7</f>
        <v>1.2261378780855257</v>
      </c>
      <c r="AN42" s="6">
        <f>MAX($AM$3:$AO$34)/AN7</f>
        <v>1.2882336826244778</v>
      </c>
      <c r="AO42" s="6">
        <f>MAX($AM$3:$AO$34)/AO7</f>
        <v>2.9219775525263119</v>
      </c>
    </row>
    <row r="43" spans="1:41" x14ac:dyDescent="0.55000000000000004">
      <c r="G43" s="6">
        <f t="shared" ref="G43:I43" si="11">MAX($G$3:$I$34)/G8</f>
        <v>1.326426110260337</v>
      </c>
      <c r="H43" s="6">
        <f t="shared" si="11"/>
        <v>1.2146723053662598</v>
      </c>
      <c r="I43" s="6">
        <f t="shared" si="11"/>
        <v>3.6501495544643285</v>
      </c>
      <c r="K43" s="6">
        <f t="shared" ref="K43:M43" si="12">MAX($K$3:$M$34)/K8</f>
        <v>1.3052066245090499</v>
      </c>
      <c r="L43" s="6">
        <f t="shared" si="12"/>
        <v>1.2059686285362079</v>
      </c>
      <c r="M43" s="6">
        <f t="shared" si="12"/>
        <v>3.5602646990014373</v>
      </c>
      <c r="O43" s="6">
        <f>MAX($O$3:$Q$34)/O8</f>
        <v>1.4308564145357276</v>
      </c>
      <c r="P43" s="6">
        <f>MAX($O$3:$Q$34)/P8</f>
        <v>1.4466364447988629</v>
      </c>
      <c r="Q43" s="6">
        <f>MAX($O$3:$Q$34)/Q8</f>
        <v>3.6886847359231454</v>
      </c>
      <c r="S43" s="6">
        <f>MAX($S$3:$U$34)/S8</f>
        <v>1.4412662868010766</v>
      </c>
      <c r="T43" s="6">
        <f>MAX($S$3:$U$34)/T8</f>
        <v>1.4500580218260826</v>
      </c>
      <c r="U43" s="6">
        <f>MAX($S$3:$U$34)/U8</f>
        <v>3.7214176240658676</v>
      </c>
      <c r="W43" s="6">
        <f>MAX($W$3:$Y$34)/W8</f>
        <v>1.4357385700222074</v>
      </c>
      <c r="X43" s="6">
        <f>MAX($W$3:$Y$34)/X8</f>
        <v>1.4467601003547019</v>
      </c>
      <c r="Y43" s="6">
        <f>MAX($W$3:$Y$34)/Y8</f>
        <v>3.7044177477830038</v>
      </c>
      <c r="AA43" s="6">
        <f>MAX($AA$3:$AC$34)/AA8</f>
        <v>1.4300561494439046</v>
      </c>
      <c r="AB43" s="6">
        <f>MAX($AA$3:$AC$34)/AB8</f>
        <v>1.4297210728213761</v>
      </c>
      <c r="AC43" s="6">
        <f>MAX($AA$3:$AC$34)/AC8</f>
        <v>3.5585281625848451</v>
      </c>
      <c r="AE43" s="6">
        <f>MAX($AE$3:$AG$34)/AE8</f>
        <v>1.1814173167875177</v>
      </c>
      <c r="AF43" s="6">
        <f>MAX($AE$3:$AG$34)/AF8</f>
        <v>1.1245377881653464</v>
      </c>
      <c r="AG43" s="6">
        <f>MAX($AE$3:$AG$34)/AG8</f>
        <v>2.6826846222781988</v>
      </c>
      <c r="AI43" s="17">
        <f>MAX($AI$3:$AK$34)/AI8</f>
        <v>1.1874835635105951</v>
      </c>
      <c r="AJ43" s="17">
        <f>MAX($AI$3:$AK$34)/AJ8</f>
        <v>1.129797558571537</v>
      </c>
      <c r="AK43" s="17">
        <f>MAX($AI$3:$AK$34)/AK8</f>
        <v>2.6977523106029744</v>
      </c>
      <c r="AL43" s="16"/>
      <c r="AM43" s="6">
        <f>MAX($AM$3:$AO$34)/AM8</f>
        <v>1.1530394181862764</v>
      </c>
      <c r="AN43" s="6">
        <f>MAX($AM$3:$AO$34)/AN8</f>
        <v>1.0921469008564377</v>
      </c>
      <c r="AO43" s="6">
        <f>MAX($AM$3:$AO$34)/AO8</f>
        <v>2.5358274351196495</v>
      </c>
    </row>
    <row r="44" spans="1:41" x14ac:dyDescent="0.55000000000000004">
      <c r="G44" s="6">
        <f t="shared" ref="G44:I44" si="13">MAX($G$3:$I$34)/G9</f>
        <v>1.5108440138181967</v>
      </c>
      <c r="H44" s="6">
        <f t="shared" si="13"/>
        <v>1.3318997363062453</v>
      </c>
      <c r="I44" s="6">
        <f t="shared" si="13"/>
        <v>3.3511265332277427</v>
      </c>
      <c r="K44" s="6">
        <f t="shared" ref="K44:M44" si="14">MAX($K$3:$M$34)/K9</f>
        <v>1.5071669318174672</v>
      </c>
      <c r="L44" s="6">
        <f t="shared" si="14"/>
        <v>1.3191189298814801</v>
      </c>
      <c r="M44" s="6">
        <f t="shared" si="14"/>
        <v>3.2697381434720034</v>
      </c>
      <c r="O44" s="6">
        <f>MAX($O$3:$Q$34)/O9</f>
        <v>1.6130820827722185</v>
      </c>
      <c r="P44" s="6">
        <f>MAX($O$3:$Q$34)/P9</f>
        <v>1.5474775384558326</v>
      </c>
      <c r="Q44" s="6">
        <f>MAX($O$3:$Q$34)/Q9</f>
        <v>3.2908371509132617</v>
      </c>
      <c r="S44" s="6">
        <f>MAX($S$3:$U$34)/S9</f>
        <v>1.6158516768379185</v>
      </c>
      <c r="T44" s="6">
        <f>MAX($S$3:$U$34)/T9</f>
        <v>1.5505927236244588</v>
      </c>
      <c r="U44" s="6">
        <f>MAX($S$3:$U$34)/U9</f>
        <v>3.3840901479056602</v>
      </c>
      <c r="W44" s="6">
        <f>MAX($W$3:$Y$34)/W9</f>
        <v>1.6126629722015069</v>
      </c>
      <c r="X44" s="6">
        <f>MAX($W$3:$Y$34)/X9</f>
        <v>1.5484590811586598</v>
      </c>
      <c r="Y44" s="6">
        <f>MAX($W$3:$Y$34)/Y9</f>
        <v>3.368378294906742</v>
      </c>
      <c r="AA44" s="6">
        <f>MAX($AA$3:$AC$34)/AA9</f>
        <v>1.5983986526519058</v>
      </c>
      <c r="AB44" s="6">
        <f>MAX($AA$3:$AC$34)/AB9</f>
        <v>1.5270871413877369</v>
      </c>
      <c r="AC44" s="6">
        <f>MAX($AA$3:$AC$34)/AC9</f>
        <v>3.2726052515563442</v>
      </c>
      <c r="AE44" s="6">
        <f>MAX($AE$3:$AG$34)/AE9</f>
        <v>1.4082823684980101</v>
      </c>
      <c r="AF44" s="6">
        <f>MAX($AE$3:$AG$34)/AF9</f>
        <v>1.2508102711895797</v>
      </c>
      <c r="AG44" s="6">
        <f>MAX($AE$3:$AG$34)/AG9</f>
        <v>2.5682287198274865</v>
      </c>
      <c r="AI44" s="17">
        <f>MAX($AI$3:$AK$34)/AI9</f>
        <v>1.4187347364311931</v>
      </c>
      <c r="AJ44" s="17">
        <f>MAX($AI$3:$AK$34)/AJ9</f>
        <v>1.2577517989406823</v>
      </c>
      <c r="AK44" s="17">
        <f>MAX($AI$3:$AK$34)/AK9</f>
        <v>2.5796170625302959</v>
      </c>
      <c r="AL44" s="16"/>
      <c r="AM44" s="6">
        <f>MAX($AM$3:$AO$34)/AM9</f>
        <v>1.3695379132780914</v>
      </c>
      <c r="AN44" s="6">
        <f>MAX($AM$3:$AO$34)/AN9</f>
        <v>1.2155376683803889</v>
      </c>
      <c r="AO44" s="6">
        <f>MAX($AM$3:$AO$34)/AO9</f>
        <v>2.4537686621249457</v>
      </c>
    </row>
    <row r="45" spans="1:41" x14ac:dyDescent="0.55000000000000004">
      <c r="G45" s="6">
        <f t="shared" ref="G45:I45" si="15">MAX($G$3:$I$34)/G10</f>
        <v>1.0998645853484323</v>
      </c>
      <c r="H45" s="6">
        <f t="shared" si="15"/>
        <v>1.4460603372940823</v>
      </c>
      <c r="I45" s="6">
        <f t="shared" si="15"/>
        <v>3.3886762925922755</v>
      </c>
      <c r="K45" s="6">
        <f t="shared" ref="K45:M45" si="16">MAX($K$3:$M$34)/K10</f>
        <v>1.1022960356880058</v>
      </c>
      <c r="L45" s="6">
        <f t="shared" si="16"/>
        <v>1.4451046447655007</v>
      </c>
      <c r="M45" s="6">
        <f t="shared" si="16"/>
        <v>3.3144448400914062</v>
      </c>
      <c r="O45" s="6">
        <f>MAX($O$3:$Q$34)/O10</f>
        <v>1.1660165392416915</v>
      </c>
      <c r="P45" s="6">
        <f>MAX($O$3:$Q$34)/P10</f>
        <v>1.6427840226785047</v>
      </c>
      <c r="Q45" s="6">
        <f>MAX($O$3:$Q$34)/Q10</f>
        <v>3.3839618815896189</v>
      </c>
      <c r="S45" s="6">
        <f>MAX($S$3:$U$34)/S10</f>
        <v>1.1647078946650835</v>
      </c>
      <c r="T45" s="6">
        <f>MAX($S$3:$U$34)/T10</f>
        <v>1.6298819672699836</v>
      </c>
      <c r="U45" s="6">
        <f>MAX($S$3:$U$34)/U10</f>
        <v>3.4423055084419794</v>
      </c>
      <c r="W45" s="6">
        <f>MAX($W$3:$Y$34)/W10</f>
        <v>1.1596861845861524</v>
      </c>
      <c r="X45" s="6">
        <f>MAX($W$3:$Y$34)/X10</f>
        <v>1.6328866727639035</v>
      </c>
      <c r="Y45" s="6">
        <f>MAX($W$3:$Y$34)/Y10</f>
        <v>3.4026233866646773</v>
      </c>
      <c r="AA45" s="6">
        <f>MAX($AA$3:$AC$34)/AA10</f>
        <v>1.1670161356540478</v>
      </c>
      <c r="AB45" s="6">
        <f>MAX($AA$3:$AC$34)/AB10</f>
        <v>1.5865701388019147</v>
      </c>
      <c r="AC45" s="6">
        <f>MAX($AA$3:$AC$34)/AC10</f>
        <v>3.3345541004901191</v>
      </c>
      <c r="AE45" s="6">
        <f>MAX($AE$3:$AG$34)/AE10</f>
        <v>1.0760230282140311</v>
      </c>
      <c r="AF45" s="6">
        <f>MAX($AE$3:$AG$34)/AF10</f>
        <v>1.3776530642705753</v>
      </c>
      <c r="AG45" s="6">
        <f>MAX($AE$3:$AG$34)/AG10</f>
        <v>2.7426160337552741</v>
      </c>
      <c r="AI45" s="17">
        <f>MAX($AI$3:$AK$34)/AI10</f>
        <v>1.0832370110279952</v>
      </c>
      <c r="AJ45" s="17">
        <f>MAX($AI$3:$AK$34)/AJ10</f>
        <v>1.3905281821575215</v>
      </c>
      <c r="AK45" s="17">
        <f>MAX($AI$3:$AK$34)/AK10</f>
        <v>2.7400426611746536</v>
      </c>
      <c r="AL45" s="16"/>
      <c r="AM45" s="6">
        <f>MAX($AM$3:$AO$34)/AM10</f>
        <v>1.0592508584077025</v>
      </c>
      <c r="AN45" s="6">
        <f>MAX($AM$3:$AO$34)/AN10</f>
        <v>1.3236934444976591</v>
      </c>
      <c r="AO45" s="6">
        <f>MAX($AM$3:$AO$34)/AO10</f>
        <v>2.6238084905221717</v>
      </c>
    </row>
    <row r="46" spans="1:41" x14ac:dyDescent="0.55000000000000004">
      <c r="G46" s="6">
        <f t="shared" ref="G46:I46" si="17">MAX($G$3:$I$34)/G11</f>
        <v>1.125038053294908</v>
      </c>
      <c r="H46" s="6">
        <f t="shared" si="17"/>
        <v>1.146467571144937</v>
      </c>
      <c r="I46" s="6">
        <f t="shared" si="17"/>
        <v>3.1195185157047955</v>
      </c>
      <c r="K46" s="6">
        <f t="shared" ref="K46:M46" si="18">MAX($K$3:$M$34)/K11</f>
        <v>1.1214891065945314</v>
      </c>
      <c r="L46" s="6">
        <f t="shared" si="18"/>
        <v>1.1326784258591969</v>
      </c>
      <c r="M46" s="6">
        <f t="shared" si="18"/>
        <v>3.0361750641289547</v>
      </c>
      <c r="O46" s="6">
        <f>MAX($O$3:$Q$34)/O11</f>
        <v>1.1734771124491121</v>
      </c>
      <c r="P46" s="6">
        <f>MAX($O$3:$Q$34)/P11</f>
        <v>1.2588146263463298</v>
      </c>
      <c r="Q46" s="6">
        <f>MAX($O$3:$Q$34)/Q11</f>
        <v>3.096629950089369</v>
      </c>
      <c r="S46" s="6">
        <f>MAX($S$3:$U$34)/S11</f>
        <v>1.1728223100886652</v>
      </c>
      <c r="T46" s="6">
        <f>MAX($S$3:$U$34)/T11</f>
        <v>1.2611684494490598</v>
      </c>
      <c r="U46" s="6">
        <f>MAX($S$3:$U$34)/U11</f>
        <v>3.1483365162327872</v>
      </c>
      <c r="W46" s="6">
        <f>MAX($W$3:$Y$34)/W11</f>
        <v>1.1724565843808936</v>
      </c>
      <c r="X46" s="6">
        <f>MAX($W$3:$Y$34)/X11</f>
        <v>1.258590369153193</v>
      </c>
      <c r="Y46" s="6">
        <f>MAX($W$3:$Y$34)/Y11</f>
        <v>3.1241196360851129</v>
      </c>
      <c r="AA46" s="6">
        <f>MAX($AA$3:$AC$34)/AA11</f>
        <v>1.1695962185949189</v>
      </c>
      <c r="AB46" s="6">
        <f>MAX($AA$3:$AC$34)/AB11</f>
        <v>1.2420364516837217</v>
      </c>
      <c r="AC46" s="6">
        <f>MAX($AA$3:$AC$34)/AC11</f>
        <v>3.0239304219673127</v>
      </c>
      <c r="AE46" s="6">
        <f>MAX($AE$3:$AG$34)/AE11</f>
        <v>1.1309565139255913</v>
      </c>
      <c r="AF46" s="6">
        <f>MAX($AE$3:$AG$34)/AF11</f>
        <v>1.1149677066052475</v>
      </c>
      <c r="AG46" s="6">
        <f>MAX($AE$3:$AG$34)/AG11</f>
        <v>2.6255280212773018</v>
      </c>
      <c r="AI46" s="17">
        <f>MAX($AI$3:$AK$34)/AI11</f>
        <v>1.1424091877884601</v>
      </c>
      <c r="AJ46" s="17">
        <f>MAX($AI$3:$AK$34)/AJ11</f>
        <v>1.123265263046805</v>
      </c>
      <c r="AK46" s="17">
        <f>MAX($AI$3:$AK$34)/AK11</f>
        <v>2.6281869251188343</v>
      </c>
      <c r="AL46" s="16"/>
      <c r="AM46" s="6">
        <f>MAX($AM$3:$AO$34)/AM11</f>
        <v>1.1062043908901853</v>
      </c>
      <c r="AN46" s="6">
        <f>MAX($AM$3:$AO$34)/AN11</f>
        <v>1.0828641106624555</v>
      </c>
      <c r="AO46" s="6">
        <f>MAX($AM$3:$AO$34)/AO11</f>
        <v>2.4902983318132339</v>
      </c>
    </row>
    <row r="47" spans="1:41" x14ac:dyDescent="0.55000000000000004">
      <c r="G47" s="6">
        <f t="shared" ref="G47:I47" si="19">MAX($G$3:$I$34)/G12</f>
        <v>1.196845633599076</v>
      </c>
      <c r="H47" s="6">
        <f t="shared" si="19"/>
        <v>1.3700600578334692</v>
      </c>
      <c r="I47" s="6">
        <f t="shared" si="19"/>
        <v>2.9059779773902603</v>
      </c>
      <c r="K47" s="6">
        <f t="shared" ref="K47:M47" si="20">MAX($K$3:$M$34)/K12</f>
        <v>1.1854489206195726</v>
      </c>
      <c r="L47" s="6">
        <f t="shared" si="20"/>
        <v>1.3527593252098138</v>
      </c>
      <c r="M47" s="6">
        <f t="shared" si="20"/>
        <v>2.7943659919264343</v>
      </c>
      <c r="O47" s="6">
        <f>MAX($O$3:$Q$34)/O12</f>
        <v>1.2211111896963385</v>
      </c>
      <c r="P47" s="6">
        <f>MAX($O$3:$Q$34)/P12</f>
        <v>1.4745635425501837</v>
      </c>
      <c r="Q47" s="6">
        <f>MAX($O$3:$Q$34)/Q12</f>
        <v>2.9039032594826586</v>
      </c>
      <c r="S47" s="6">
        <f>MAX($S$3:$U$34)/S12</f>
        <v>1.2301702525969902</v>
      </c>
      <c r="T47" s="6">
        <f>MAX($S$3:$U$34)/T12</f>
        <v>1.4755069835362837</v>
      </c>
      <c r="U47" s="6">
        <f>MAX($S$3:$U$34)/U12</f>
        <v>2.9512503062166693</v>
      </c>
      <c r="W47" s="6">
        <f>MAX($W$3:$Y$34)/W12</f>
        <v>1.2265942647299719</v>
      </c>
      <c r="X47" s="6">
        <f>MAX($W$3:$Y$34)/X12</f>
        <v>1.4771316688258156</v>
      </c>
      <c r="Y47" s="6">
        <f>MAX($W$3:$Y$34)/Y12</f>
        <v>2.919093945282953</v>
      </c>
      <c r="AA47" s="6">
        <f>MAX($AA$3:$AC$34)/AA12</f>
        <v>1.2268398386881145</v>
      </c>
      <c r="AB47" s="6">
        <f>MAX($AA$3:$AC$34)/AB12</f>
        <v>1.4424493109858583</v>
      </c>
      <c r="AC47" s="6">
        <f>MAX($AA$3:$AC$34)/AC12</f>
        <v>2.8758152194029005</v>
      </c>
      <c r="AE47" s="6">
        <f>MAX($AE$3:$AG$34)/AE12</f>
        <v>1.2431450807325981</v>
      </c>
      <c r="AF47" s="6">
        <f>MAX($AE$3:$AG$34)/AF12</f>
        <v>1.3275290891395752</v>
      </c>
      <c r="AG47" s="6">
        <f>MAX($AE$3:$AG$34)/AG12</f>
        <v>2.5723562281398493</v>
      </c>
      <c r="AI47" s="17">
        <f>MAX($AI$3:$AK$34)/AI12</f>
        <v>1.2531084041493044</v>
      </c>
      <c r="AJ47" s="17">
        <f>MAX($AI$3:$AK$34)/AJ12</f>
        <v>1.340051170675336</v>
      </c>
      <c r="AK47" s="17">
        <f>MAX($AI$3:$AK$34)/AK12</f>
        <v>2.5677261487295695</v>
      </c>
      <c r="AL47" s="16"/>
      <c r="AM47" s="6">
        <f>MAX($AM$3:$AO$34)/AM12</f>
        <v>1.2163455493244142</v>
      </c>
      <c r="AN47" s="6">
        <f>MAX($AM$3:$AO$34)/AN12</f>
        <v>1.2831901338255303</v>
      </c>
      <c r="AO47" s="6">
        <f>MAX($AM$3:$AO$34)/AO12</f>
        <v>2.4718624516317442</v>
      </c>
    </row>
    <row r="48" spans="1:41" x14ac:dyDescent="0.55000000000000004">
      <c r="G48" s="6">
        <f t="shared" ref="G48:I48" si="21">MAX($G$3:$I$34)/G13</f>
        <v>1.2791895743072903</v>
      </c>
      <c r="H48" s="6">
        <f t="shared" si="21"/>
        <v>7.2451853642916424</v>
      </c>
      <c r="I48" s="6">
        <f t="shared" si="21"/>
        <v>2.5386924593497331</v>
      </c>
      <c r="K48" s="6">
        <f t="shared" ref="K48:M48" si="22">MAX($K$3:$M$34)/K13</f>
        <v>1.2710200953994555</v>
      </c>
      <c r="L48" s="6">
        <f t="shared" si="22"/>
        <v>7.3896485278248809</v>
      </c>
      <c r="M48" s="6">
        <f t="shared" si="22"/>
        <v>2.4877536775295099</v>
      </c>
      <c r="O48" s="6">
        <f>MAX($O$3:$Q$34)/O13</f>
        <v>1.2808442928880783</v>
      </c>
      <c r="P48" s="6">
        <f>MAX($O$3:$Q$34)/P13</f>
        <v>7.4151287933427028</v>
      </c>
      <c r="Q48" s="6">
        <f>MAX($O$3:$Q$34)/Q13</f>
        <v>2.5498495118684463</v>
      </c>
      <c r="S48" s="6">
        <f>MAX($S$3:$U$34)/S13</f>
        <v>1.3002749484212259</v>
      </c>
      <c r="T48" s="6">
        <f>MAX($S$3:$U$34)/T13</f>
        <v>7.2936446334875349</v>
      </c>
      <c r="U48" s="6">
        <f>MAX($S$3:$U$34)/U13</f>
        <v>2.6083350450505467</v>
      </c>
      <c r="W48" s="6">
        <f>MAX($W$3:$Y$34)/W13</f>
        <v>1.2890596696240684</v>
      </c>
      <c r="X48" s="6">
        <f>MAX($W$3:$Y$34)/X13</f>
        <v>7.488480535201723</v>
      </c>
      <c r="Y48" s="6">
        <f>MAX($W$3:$Y$34)/Y13</f>
        <v>2.5701485655737706</v>
      </c>
      <c r="AA48" s="6">
        <f>MAX($AA$3:$AC$34)/AA13</f>
        <v>1.3228026686461321</v>
      </c>
      <c r="AB48" s="6">
        <f>MAX($AA$3:$AC$34)/AB13</f>
        <v>5.8887283236994223</v>
      </c>
      <c r="AC48" s="6">
        <f>MAX($AA$3:$AC$34)/AC13</f>
        <v>2.6574046838909449</v>
      </c>
      <c r="AE48" s="6">
        <f>MAX($AE$3:$AG$34)/AE13</f>
        <v>1.3755862014148319</v>
      </c>
      <c r="AF48" s="6">
        <f>MAX($AE$3:$AG$34)/AF13</f>
        <v>6.7079057114098593</v>
      </c>
      <c r="AG48" s="6">
        <f>MAX($AE$3:$AG$34)/AG13</f>
        <v>2.3256009272168376</v>
      </c>
      <c r="AI48" s="17">
        <f>MAX($AI$3:$AK$34)/AI13</f>
        <v>1.3765202008304811</v>
      </c>
      <c r="AJ48" s="17">
        <f>MAX($AI$3:$AK$34)/AJ13</f>
        <v>6.9135281222089473</v>
      </c>
      <c r="AK48" s="17">
        <f>MAX($AI$3:$AK$34)/AK13</f>
        <v>2.3138941729104392</v>
      </c>
      <c r="AL48" s="16"/>
      <c r="AM48" s="6">
        <f>MAX($AM$3:$AO$34)/AM13</f>
        <v>1.375410302242444</v>
      </c>
      <c r="AN48" s="6">
        <f>MAX($AM$3:$AO$34)/AN13</f>
        <v>5.4317365077327855</v>
      </c>
      <c r="AO48" s="6">
        <f>MAX($AM$3:$AO$34)/AO13</f>
        <v>2.336777372867318</v>
      </c>
    </row>
    <row r="49" spans="7:41" x14ac:dyDescent="0.55000000000000004">
      <c r="G49" s="6">
        <f t="shared" ref="G49:I49" si="23">MAX($G$3:$I$34)/G14</f>
        <v>1</v>
      </c>
      <c r="H49" s="6">
        <f t="shared" si="23"/>
        <v>1.2368277200771984</v>
      </c>
      <c r="I49" s="6">
        <f t="shared" si="23"/>
        <v>2.6847444821536461</v>
      </c>
      <c r="K49" s="6">
        <f t="shared" ref="K49:M49" si="24">MAX($K$3:$M$34)/K14</f>
        <v>1</v>
      </c>
      <c r="L49" s="6">
        <f t="shared" si="24"/>
        <v>1.2384187227688368</v>
      </c>
      <c r="M49" s="6">
        <f t="shared" si="24"/>
        <v>2.608045026468556</v>
      </c>
      <c r="O49" s="6">
        <f>MAX($O$3:$Q$34)/O14</f>
        <v>1</v>
      </c>
      <c r="P49" s="6">
        <f>MAX($O$3:$Q$34)/P14</f>
        <v>1.2415345017407087</v>
      </c>
      <c r="Q49" s="6">
        <f>MAX($O$3:$Q$34)/Q14</f>
        <v>2.7200232512657814</v>
      </c>
      <c r="S49" s="6">
        <f>MAX($S$3:$U$34)/S14</f>
        <v>1</v>
      </c>
      <c r="T49" s="6">
        <f>MAX($S$3:$U$34)/T14</f>
        <v>1.2348664844407065</v>
      </c>
      <c r="U49" s="6">
        <f>MAX($S$3:$U$34)/U14</f>
        <v>2.7575557492362819</v>
      </c>
      <c r="W49" s="6">
        <f>MAX($W$3:$Y$34)/W14</f>
        <v>1</v>
      </c>
      <c r="X49" s="6">
        <f>MAX($W$3:$Y$34)/X14</f>
        <v>1.2376663360914164</v>
      </c>
      <c r="Y49" s="6">
        <f>MAX($W$3:$Y$34)/Y14</f>
        <v>2.739874827970378</v>
      </c>
      <c r="AA49" s="6">
        <f>MAX($AA$3:$AC$34)/AA14</f>
        <v>1</v>
      </c>
      <c r="AB49" s="6">
        <f>MAX($AA$3:$AC$34)/AB14</f>
        <v>1.2070747662389851</v>
      </c>
      <c r="AC49" s="6">
        <f>MAX($AA$3:$AC$34)/AC14</f>
        <v>2.6690468883830216</v>
      </c>
      <c r="AE49" s="6">
        <f>MAX($AE$3:$AG$34)/AE14</f>
        <v>1.092574909839882</v>
      </c>
      <c r="AF49" s="6">
        <f>MAX($AE$3:$AG$34)/AF14</f>
        <v>1.2210448333796351</v>
      </c>
      <c r="AG49" s="6">
        <f>MAX($AE$3:$AG$34)/AG14</f>
        <v>2.5519443714834731</v>
      </c>
      <c r="AI49" s="17">
        <f>MAX($AI$3:$AK$34)/AI14</f>
        <v>1.1032596020360943</v>
      </c>
      <c r="AJ49" s="17">
        <f>MAX($AI$3:$AK$34)/AJ14</f>
        <v>1.2386193138130961</v>
      </c>
      <c r="AK49" s="17">
        <f>MAX($AI$3:$AK$34)/AK14</f>
        <v>2.5590829075608603</v>
      </c>
      <c r="AL49" s="16"/>
      <c r="AM49" s="6">
        <f>MAX($AM$3:$AO$34)/AM14</f>
        <v>1.0725659679818289</v>
      </c>
      <c r="AN49" s="6">
        <f>MAX($AM$3:$AO$34)/AN14</f>
        <v>1.1779885844311961</v>
      </c>
      <c r="AO49" s="6">
        <f>MAX($AM$3:$AO$34)/AO14</f>
        <v>2.4400634211379768</v>
      </c>
    </row>
    <row r="50" spans="7:41" x14ac:dyDescent="0.55000000000000004">
      <c r="G50" s="6">
        <f t="shared" ref="G50:I50" si="25">MAX($G$3:$I$34)/G15</f>
        <v>1.0202216792965892</v>
      </c>
      <c r="H50" s="6">
        <f t="shared" si="25"/>
        <v>1.1940227780619801</v>
      </c>
      <c r="I50" s="6">
        <f t="shared" si="25"/>
        <v>2.66256160001537</v>
      </c>
      <c r="K50" s="6">
        <f t="shared" ref="K50:M50" si="26">MAX($K$3:$M$34)/K15</f>
        <v>1.006930747142734</v>
      </c>
      <c r="L50" s="6">
        <f t="shared" si="26"/>
        <v>1.1960048053112911</v>
      </c>
      <c r="M50" s="6">
        <f t="shared" si="26"/>
        <v>2.5880995251579884</v>
      </c>
      <c r="O50" s="6">
        <f>MAX($O$3:$Q$34)/O15</f>
        <v>1.0031053349654706</v>
      </c>
      <c r="P50" s="6">
        <f>MAX($O$3:$Q$34)/P15</f>
        <v>1.1600434647624962</v>
      </c>
      <c r="Q50" s="6">
        <f>MAX($O$3:$Q$34)/Q15</f>
        <v>2.7152440347071582</v>
      </c>
      <c r="S50" s="6">
        <f>MAX($S$3:$U$34)/S15</f>
        <v>1.0059585619803921</v>
      </c>
      <c r="T50" s="6">
        <f>MAX($S$3:$U$34)/T15</f>
        <v>1.1601667251060552</v>
      </c>
      <c r="U50" s="6">
        <f>MAX($S$3:$U$34)/U15</f>
        <v>2.7352892376746882</v>
      </c>
      <c r="W50" s="6">
        <f>MAX($W$3:$Y$34)/W15</f>
        <v>1.004137094546721</v>
      </c>
      <c r="X50" s="6">
        <f>MAX($W$3:$Y$34)/X15</f>
        <v>1.1574628208618454</v>
      </c>
      <c r="Y50" s="6">
        <f>MAX($W$3:$Y$34)/Y15</f>
        <v>2.7278673727938059</v>
      </c>
      <c r="AA50" s="6">
        <f>MAX($AA$3:$AC$34)/AA15</f>
        <v>1.0046982758620691</v>
      </c>
      <c r="AB50" s="6">
        <f>MAX($AA$3:$AC$34)/AB15</f>
        <v>1.139069158293913</v>
      </c>
      <c r="AC50" s="6">
        <f>MAX($AA$3:$AC$34)/AC15</f>
        <v>2.6415517714228725</v>
      </c>
      <c r="AE50" s="6">
        <f>MAX($AE$3:$AG$34)/AE15</f>
        <v>1.1325593427965504</v>
      </c>
      <c r="AF50" s="6">
        <f>MAX($AE$3:$AG$34)/AF15</f>
        <v>1.1571104415740714</v>
      </c>
      <c r="AG50" s="6">
        <f>MAX($AE$3:$AG$34)/AG15</f>
        <v>2.5550055132386933</v>
      </c>
      <c r="AI50" s="17">
        <f>MAX($AI$3:$AK$34)/AI15</f>
        <v>1.1431936138463841</v>
      </c>
      <c r="AJ50" s="17">
        <f>MAX($AI$3:$AK$34)/AJ15</f>
        <v>1.1643420302085532</v>
      </c>
      <c r="AK50" s="17">
        <f>MAX($AI$3:$AK$34)/AK15</f>
        <v>2.5705167461638649</v>
      </c>
      <c r="AL50" s="16"/>
      <c r="AM50" s="6">
        <f>MAX($AM$3:$AO$34)/AM15</f>
        <v>1.1101780503000296</v>
      </c>
      <c r="AN50" s="6">
        <f>MAX($AM$3:$AO$34)/AN15</f>
        <v>1.1224637969446212</v>
      </c>
      <c r="AO50" s="6">
        <f>MAX($AM$3:$AO$34)/AO15</f>
        <v>2.4355435662260589</v>
      </c>
    </row>
    <row r="51" spans="7:41" x14ac:dyDescent="0.55000000000000004">
      <c r="G51" s="6">
        <f t="shared" ref="G51:I51" si="27">MAX($G$3:$I$34)/G16</f>
        <v>1.0757982271860582</v>
      </c>
      <c r="H51" s="6">
        <f t="shared" si="27"/>
        <v>1.1425803592592212</v>
      </c>
      <c r="I51" s="6">
        <f t="shared" si="27"/>
        <v>3.3722413932076414</v>
      </c>
      <c r="K51" s="6">
        <f t="shared" ref="K51:M51" si="28">MAX($K$3:$M$34)/K16</f>
        <v>1.0646236634363719</v>
      </c>
      <c r="L51" s="6">
        <f t="shared" si="28"/>
        <v>1.1355077038235457</v>
      </c>
      <c r="M51" s="6">
        <f t="shared" si="28"/>
        <v>3.2930082227916273</v>
      </c>
      <c r="O51" s="6">
        <f>MAX($O$3:$Q$34)/O16</f>
        <v>1.0164684243542661</v>
      </c>
      <c r="P51" s="6">
        <f>MAX($O$3:$Q$34)/P16</f>
        <v>1.0746125466006478</v>
      </c>
      <c r="Q51" s="6">
        <f>MAX($O$3:$Q$34)/Q16</f>
        <v>3.4210019267822736</v>
      </c>
      <c r="S51" s="6">
        <f>MAX($S$3:$U$34)/S16</f>
        <v>1.0237547391815924</v>
      </c>
      <c r="T51" s="6">
        <f>MAX($S$3:$U$34)/T16</f>
        <v>1.078632339318695</v>
      </c>
      <c r="U51" s="6">
        <f>MAX($S$3:$U$34)/U16</f>
        <v>3.4279523135515313</v>
      </c>
      <c r="W51" s="6">
        <f>MAX($W$3:$Y$34)/W16</f>
        <v>1.0202237731521022</v>
      </c>
      <c r="X51" s="6">
        <f>MAX($W$3:$Y$34)/X16</f>
        <v>1.0772416902860087</v>
      </c>
      <c r="Y51" s="6">
        <f>MAX($W$3:$Y$34)/Y16</f>
        <v>3.4506231429514691</v>
      </c>
      <c r="AA51" s="6">
        <f>MAX($AA$3:$AC$34)/AA16</f>
        <v>1.0208291362652955</v>
      </c>
      <c r="AB51" s="6">
        <f>MAX($AA$3:$AC$34)/AB16</f>
        <v>1.065174474930082</v>
      </c>
      <c r="AC51" s="6">
        <f>MAX($AA$3:$AC$34)/AC16</f>
        <v>3.2295474005946723</v>
      </c>
      <c r="AE51" s="6">
        <f>MAX($AE$3:$AG$34)/AE16</f>
        <v>1.1768530973676996</v>
      </c>
      <c r="AF51" s="6">
        <f>MAX($AE$3:$AG$34)/AF16</f>
        <v>1.0953669419918353</v>
      </c>
      <c r="AG51" s="6">
        <f>MAX($AE$3:$AG$34)/AG16</f>
        <v>3.4269801980198018</v>
      </c>
      <c r="AI51" s="17">
        <f>MAX($AI$3:$AK$34)/AI16</f>
        <v>1.1862121121659004</v>
      </c>
      <c r="AJ51" s="17">
        <f>MAX($AI$3:$AK$34)/AJ16</f>
        <v>1.1043921022205094</v>
      </c>
      <c r="AK51" s="17">
        <f>MAX($AI$3:$AK$34)/AK16</f>
        <v>3.4838222469530087</v>
      </c>
      <c r="AL51" s="16"/>
      <c r="AM51" s="6">
        <f>MAX($AM$3:$AO$34)/AM16</f>
        <v>1.1504730901819133</v>
      </c>
      <c r="AN51" s="6">
        <f t="shared" ref="AN51:AN69" si="29">MAX($AM$3:$AO$34)/AN16</f>
        <v>1.0688902920284136</v>
      </c>
      <c r="AO51" s="6">
        <f>MAX($AM$3:$AO$34)/AO16</f>
        <v>3.1767139868079077</v>
      </c>
    </row>
    <row r="52" spans="7:41" x14ac:dyDescent="0.55000000000000004">
      <c r="G52" s="6">
        <f t="shared" ref="G52:I52" si="30">MAX($G$3:$I$34)/G17</f>
        <v>1.0704334141137168</v>
      </c>
      <c r="H52" s="6">
        <f t="shared" si="30"/>
        <v>1.4059016726055364</v>
      </c>
      <c r="I52" s="6">
        <f t="shared" si="30"/>
        <v>3.6362324449488024</v>
      </c>
      <c r="K52" s="6">
        <f t="shared" ref="K52:M52" si="31">MAX($K$3:$M$34)/K17</f>
        <v>1.0794476282693628</v>
      </c>
      <c r="L52" s="6">
        <f t="shared" si="31"/>
        <v>1.3790770700188004</v>
      </c>
      <c r="M52" s="6">
        <f t="shared" si="31"/>
        <v>3.5558411405597465</v>
      </c>
      <c r="O52" s="6">
        <f>MAX($O$3:$Q$34)/O17</f>
        <v>1.0117974428769756</v>
      </c>
      <c r="P52" s="6">
        <f>MAX($O$3:$Q$34)/P17</f>
        <v>1.286412394178025</v>
      </c>
      <c r="Q52" s="6">
        <f>MAX($O$3:$Q$34)/Q17</f>
        <v>3.7030619037053474</v>
      </c>
      <c r="S52" s="6">
        <f>MAX($S$3:$U$34)/S17</f>
        <v>1.0148695994021055</v>
      </c>
      <c r="T52" s="6">
        <f>MAX($S$3:$U$34)/T17</f>
        <v>1.2855583251476836</v>
      </c>
      <c r="U52" s="6">
        <f>MAX($S$3:$U$34)/U17</f>
        <v>3.7256374370096066</v>
      </c>
      <c r="W52" s="6">
        <f>MAX($W$3:$Y$34)/W17</f>
        <v>1.0107625450538027</v>
      </c>
      <c r="X52" s="6">
        <f>MAX($W$3:$Y$34)/X17</f>
        <v>1.2957583145867178</v>
      </c>
      <c r="Y52" s="6">
        <f>MAX($W$3:$Y$34)/Y17</f>
        <v>3.7346132086707957</v>
      </c>
      <c r="AA52" s="6">
        <f>MAX($AA$3:$AC$34)/AA17</f>
        <v>1.0159348658001865</v>
      </c>
      <c r="AB52" s="6">
        <f>MAX($AA$3:$AC$34)/AB17</f>
        <v>1.2579563350074423</v>
      </c>
      <c r="AC52" s="6">
        <f>MAX($AA$3:$AC$34)/AC17</f>
        <v>3.5397759716198323</v>
      </c>
      <c r="AE52" s="6">
        <f>MAX($AE$3:$AG$34)/AE17</f>
        <v>1.1581194883194721</v>
      </c>
      <c r="AF52" s="6">
        <f>MAX($AE$3:$AG$34)/AF17</f>
        <v>1.3049563836354983</v>
      </c>
      <c r="AG52" s="6">
        <f>MAX($AE$3:$AG$34)/AG17</f>
        <v>3.5722579146992803</v>
      </c>
      <c r="AI52" s="17">
        <f>MAX($AI$3:$AK$34)/AI17</f>
        <v>1.1652024319199266</v>
      </c>
      <c r="AJ52" s="17">
        <f>MAX($AI$3:$AK$34)/AJ17</f>
        <v>1.3230896272486725</v>
      </c>
      <c r="AK52" s="17">
        <f>MAX($AI$3:$AK$34)/AK17</f>
        <v>3.6136096324768707</v>
      </c>
      <c r="AL52" s="16"/>
      <c r="AM52" s="6">
        <f>MAX($AM$3:$AO$34)/AM17</f>
        <v>1.1381800334154712</v>
      </c>
      <c r="AN52" s="6">
        <f t="shared" si="29"/>
        <v>1.2633269838189998</v>
      </c>
      <c r="AO52" s="6">
        <f>MAX($AM$3:$AO$34)/AO17</f>
        <v>3.3586060491830922</v>
      </c>
    </row>
    <row r="53" spans="7:41" x14ac:dyDescent="0.55000000000000004">
      <c r="G53" s="6">
        <f t="shared" ref="G53:I53" si="32">MAX($G$3:$I$34)/G18</f>
        <v>1.5394484712155294</v>
      </c>
      <c r="H53" s="6">
        <f t="shared" si="32"/>
        <v>2.2861856180308178</v>
      </c>
      <c r="I53" s="6">
        <f t="shared" si="32"/>
        <v>6.0203632809318242</v>
      </c>
      <c r="K53" s="6">
        <f t="shared" ref="K53:M53" si="33">MAX($K$3:$M$34)/K18</f>
        <v>1.5607223321959731</v>
      </c>
      <c r="L53" s="6">
        <f t="shared" si="33"/>
        <v>2.2778219953005352</v>
      </c>
      <c r="M53" s="6">
        <f t="shared" si="33"/>
        <v>5.9367948479782031</v>
      </c>
      <c r="O53" s="6">
        <f>MAX($O$3:$Q$34)/O18</f>
        <v>1.4169230116168834</v>
      </c>
      <c r="P53" s="6">
        <f>MAX($O$3:$Q$34)/P18</f>
        <v>2.0416117891234409</v>
      </c>
      <c r="Q53" s="6">
        <f>MAX($O$3:$Q$34)/Q18</f>
        <v>5.9867278064411984</v>
      </c>
      <c r="S53" s="6">
        <f>MAX($S$3:$U$34)/S18</f>
        <v>1.420805777064112</v>
      </c>
      <c r="T53" s="6">
        <f>MAX($S$3:$U$34)/T18</f>
        <v>2.0312529046957177</v>
      </c>
      <c r="U53" s="6">
        <f>MAX($S$3:$U$34)/U18</f>
        <v>6.1137142894320791</v>
      </c>
      <c r="W53" s="6">
        <f>MAX($W$3:$Y$34)/W18</f>
        <v>1.4166796090734273</v>
      </c>
      <c r="X53" s="6">
        <f>MAX($W$3:$Y$34)/X18</f>
        <v>2.0442138203332232</v>
      </c>
      <c r="Y53" s="6">
        <f>MAX($W$3:$Y$34)/Y18</f>
        <v>6.0932102933817847</v>
      </c>
      <c r="AA53" s="6">
        <f>MAX($AA$3:$AC$34)/AA18</f>
        <v>1.419516478912181</v>
      </c>
      <c r="AB53" s="6">
        <f>MAX($AA$3:$AC$34)/AB18</f>
        <v>1.9679175988855586</v>
      </c>
      <c r="AC53" s="6">
        <f>MAX($AA$3:$AC$34)/AC18</f>
        <v>5.7396062131255725</v>
      </c>
      <c r="AE53" s="6">
        <f>MAX($AE$3:$AG$34)/AE18</f>
        <v>1.6118282230015861</v>
      </c>
      <c r="AF53" s="6">
        <f>MAX($AE$3:$AG$34)/AF18</f>
        <v>1.9855226786271283</v>
      </c>
      <c r="AG53" s="6">
        <f>MAX($AE$3:$AG$34)/AG18</f>
        <v>6.0783334522365697</v>
      </c>
      <c r="AI53" s="17">
        <f>MAX($AI$3:$AK$34)/AI18</f>
        <v>1.6248200811270554</v>
      </c>
      <c r="AJ53" s="17">
        <f>MAX($AI$3:$AK$34)/AJ18</f>
        <v>2.012397782444578</v>
      </c>
      <c r="AK53" s="17">
        <f>MAX($AI$3:$AK$34)/AK18</f>
        <v>6.1147576301615798</v>
      </c>
      <c r="AL53" s="16"/>
      <c r="AM53" s="6">
        <f>MAX($AM$3:$AO$34)/AM18</f>
        <v>1.5800438212708168</v>
      </c>
      <c r="AN53" s="6">
        <f t="shared" si="29"/>
        <v>1.9087810887072905</v>
      </c>
      <c r="AO53" s="6">
        <f>MAX($AM$3:$AO$34)/AO18</f>
        <v>5.6139382181763917</v>
      </c>
    </row>
    <row r="54" spans="7:41" x14ac:dyDescent="0.55000000000000004">
      <c r="G54" s="6">
        <f t="shared" ref="G54:I54" si="34">MAX($G$3:$I$34)/G19</f>
        <v>1.2654719780846935</v>
      </c>
      <c r="H54" s="6">
        <f t="shared" si="34"/>
        <v>4.6062570110931071</v>
      </c>
      <c r="I54" s="6">
        <f t="shared" si="34"/>
        <v>4.7693982112820867</v>
      </c>
      <c r="K54" s="6">
        <f t="shared" ref="K54:M54" si="35">MAX($K$3:$M$34)/K19</f>
        <v>1.2587860557512607</v>
      </c>
      <c r="L54" s="6">
        <f t="shared" si="35"/>
        <v>4.5952424317950884</v>
      </c>
      <c r="M54" s="6">
        <f t="shared" si="35"/>
        <v>4.5999165163320921</v>
      </c>
      <c r="O54" s="6">
        <f>MAX($O$3:$Q$34)/O19</f>
        <v>1.1403028108388789</v>
      </c>
      <c r="P54" s="6">
        <f>MAX($O$3:$Q$34)/P19</f>
        <v>4.1035536905600996</v>
      </c>
      <c r="Q54" s="6">
        <f>MAX($O$3:$Q$34)/Q19</f>
        <v>4.7348457624874696</v>
      </c>
      <c r="S54" s="6">
        <f>MAX($S$3:$U$34)/S19</f>
        <v>1.1480463820101723</v>
      </c>
      <c r="T54" s="6">
        <f>MAX($S$3:$U$34)/T19</f>
        <v>4.038056440072709</v>
      </c>
      <c r="U54" s="6">
        <f>MAX($S$3:$U$34)/U19</f>
        <v>4.8602417490340901</v>
      </c>
      <c r="W54" s="6">
        <f>MAX($W$3:$Y$34)/W19</f>
        <v>1.14041612016703</v>
      </c>
      <c r="X54" s="6">
        <f>MAX($W$3:$Y$34)/X19</f>
        <v>4.1198357626770683</v>
      </c>
      <c r="Y54" s="6">
        <f>MAX($W$3:$Y$34)/Y19</f>
        <v>4.8132801181990006</v>
      </c>
      <c r="AA54" s="6">
        <f>MAX($AA$3:$AC$34)/AA19</f>
        <v>1.1639950062421973</v>
      </c>
      <c r="AB54" s="6">
        <f>MAX($AA$3:$AC$34)/AB19</f>
        <v>3.6183536483138461</v>
      </c>
      <c r="AC54" s="6">
        <f>MAX($AA$3:$AC$34)/AC19</f>
        <v>4.8202114283823576</v>
      </c>
      <c r="AE54" s="6">
        <f>MAX($AE$3:$AG$34)/AE19</f>
        <v>1.1946493171429373</v>
      </c>
      <c r="AF54" s="6">
        <f>MAX($AE$3:$AG$34)/AF19</f>
        <v>3.8859067466582466</v>
      </c>
      <c r="AG54" s="6">
        <f>MAX($AE$3:$AG$34)/AG19</f>
        <v>4.4767432460834558</v>
      </c>
      <c r="AI54" s="17">
        <f>MAX($AI$3:$AK$34)/AI19</f>
        <v>1.1969026992943521</v>
      </c>
      <c r="AJ54" s="17">
        <f>MAX($AI$3:$AK$34)/AJ19</f>
        <v>3.9817066327484945</v>
      </c>
      <c r="AK54" s="17">
        <f>MAX($AI$3:$AK$34)/AK19</f>
        <v>4.4732805177884716</v>
      </c>
      <c r="AL54" s="16"/>
      <c r="AM54" s="6">
        <f>MAX($AM$3:$AO$34)/AM19</f>
        <v>1.1928864617281776</v>
      </c>
      <c r="AN54" s="6">
        <f t="shared" si="29"/>
        <v>3.4604027943152955</v>
      </c>
      <c r="AO54" s="6">
        <f>MAX($AM$3:$AO$34)/AO19</f>
        <v>4.3887045342597153</v>
      </c>
    </row>
    <row r="55" spans="7:41" x14ac:dyDescent="0.55000000000000004">
      <c r="G55" s="6">
        <f t="shared" ref="G55:I55" si="36">MAX($G$3:$I$34)/G20</f>
        <v>1.1332198764239609</v>
      </c>
      <c r="H55" s="6">
        <f t="shared" si="36"/>
        <v>4.1062602431503992</v>
      </c>
      <c r="I55" s="6">
        <f t="shared" si="36"/>
        <v>4.9375722311664543</v>
      </c>
      <c r="K55" s="6">
        <f t="shared" ref="K55:M55" si="37">MAX($K$3:$M$34)/K20</f>
        <v>1.1341858855679312</v>
      </c>
      <c r="L55" s="6">
        <f t="shared" si="37"/>
        <v>4.1444028495841474</v>
      </c>
      <c r="M55" s="6">
        <f t="shared" si="37"/>
        <v>4.8181653709110828</v>
      </c>
      <c r="O55" s="6">
        <f>MAX($O$3:$Q$34)/O20</f>
        <v>1.0350522496821606</v>
      </c>
      <c r="P55" s="6">
        <f>MAX($O$3:$Q$34)/P20</f>
        <v>3.7670298087485139</v>
      </c>
      <c r="Q55" s="6">
        <f>MAX($O$3:$Q$34)/Q20</f>
        <v>4.9722533938449009</v>
      </c>
      <c r="S55" s="6">
        <f>MAX($S$3:$U$34)/S20</f>
        <v>1.0438961529488875</v>
      </c>
      <c r="T55" s="6">
        <f>MAX($S$3:$U$34)/T20</f>
        <v>3.6911147772802262</v>
      </c>
      <c r="U55" s="6">
        <f>MAX($S$3:$U$34)/U20</f>
        <v>5.0431170503944616</v>
      </c>
      <c r="W55" s="6">
        <f>MAX($W$3:$Y$34)/W20</f>
        <v>1.034753518149174</v>
      </c>
      <c r="X55" s="6">
        <f>MAX($W$3:$Y$34)/X20</f>
        <v>3.7397076472386006</v>
      </c>
      <c r="Y55" s="6">
        <f>MAX($W$3:$Y$34)/Y20</f>
        <v>5.024657923886938</v>
      </c>
      <c r="AA55" s="6">
        <f>MAX($AA$3:$AC$34)/AA20</f>
        <v>1.0615555575796769</v>
      </c>
      <c r="AB55" s="6">
        <f>MAX($AA$3:$AC$34)/AB20</f>
        <v>3.3284782018877892</v>
      </c>
      <c r="AC55" s="6">
        <f>MAX($AA$3:$AC$34)/AC20</f>
        <v>4.973859974820221</v>
      </c>
      <c r="AE55" s="6">
        <f>MAX($AE$3:$AG$34)/AE20</f>
        <v>1.084886809751052</v>
      </c>
      <c r="AF55" s="6">
        <f>MAX($AE$3:$AG$34)/AF20</f>
        <v>3.5860675641548654</v>
      </c>
      <c r="AG55" s="6">
        <f>MAX($AE$3:$AG$34)/AG20</f>
        <v>4.6524913259348244</v>
      </c>
      <c r="AI55" s="17">
        <f>MAX($AI$3:$AK$34)/AI20</f>
        <v>1.0823754163080153</v>
      </c>
      <c r="AJ55" s="17">
        <f>MAX($AI$3:$AK$34)/AJ20</f>
        <v>3.667823561266184</v>
      </c>
      <c r="AK55" s="17">
        <f>MAX($AI$3:$AK$34)/AK20</f>
        <v>4.6659433325661608</v>
      </c>
      <c r="AL55" s="16"/>
      <c r="AM55" s="6">
        <f>MAX($AM$3:$AO$34)/AM20</f>
        <v>1.0849530780089118</v>
      </c>
      <c r="AN55" s="6">
        <f t="shared" si="29"/>
        <v>3.20388928317956</v>
      </c>
      <c r="AO55" s="6">
        <f>MAX($AM$3:$AO$34)/AO20</f>
        <v>4.531954623029816</v>
      </c>
    </row>
    <row r="56" spans="7:41" x14ac:dyDescent="0.55000000000000004">
      <c r="G56" s="6">
        <f t="shared" ref="G56:I56" si="38">MAX($G$3:$I$34)/G21</f>
        <v>1.2204486911340569</v>
      </c>
      <c r="H56" s="6">
        <f t="shared" si="38"/>
        <v>4.6673795350638638</v>
      </c>
      <c r="I56" s="6">
        <f t="shared" si="38"/>
        <v>4.6301880173400267</v>
      </c>
      <c r="K56" s="6">
        <f t="shared" ref="K56:M56" si="39">MAX($K$3:$M$34)/K21</f>
        <v>1.2136475264570359</v>
      </c>
      <c r="L56" s="6">
        <f t="shared" si="39"/>
        <v>4.7092285324138201</v>
      </c>
      <c r="M56" s="6">
        <f t="shared" si="39"/>
        <v>4.5029542721875702</v>
      </c>
      <c r="O56" s="6">
        <f>MAX($O$3:$Q$34)/O21</f>
        <v>1.1396435562434561</v>
      </c>
      <c r="P56" s="6">
        <f>MAX($O$3:$Q$34)/P21</f>
        <v>4.3661739699149775</v>
      </c>
      <c r="Q56" s="6">
        <f>MAX($O$3:$Q$34)/Q21</f>
        <v>4.6717580756526766</v>
      </c>
      <c r="S56" s="6">
        <f>MAX($S$3:$U$34)/S21</f>
        <v>1.1534733679000706</v>
      </c>
      <c r="T56" s="6">
        <f>MAX($S$3:$U$34)/T21</f>
        <v>4.253542038222327</v>
      </c>
      <c r="U56" s="6">
        <f>MAX($S$3:$U$34)/U21</f>
        <v>4.7419271818938764</v>
      </c>
      <c r="W56" s="6">
        <f>MAX($W$3:$Y$34)/W21</f>
        <v>1.1387620301434538</v>
      </c>
      <c r="X56" s="6">
        <f>MAX($W$3:$Y$34)/X21</f>
        <v>4.3491222747171774</v>
      </c>
      <c r="Y56" s="6">
        <f>MAX($W$3:$Y$34)/Y21</f>
        <v>4.709803700678739</v>
      </c>
      <c r="AA56" s="6">
        <f>MAX($AA$3:$AC$34)/AA21</f>
        <v>1.1717434339839277</v>
      </c>
      <c r="AB56" s="6">
        <f>MAX($AA$3:$AC$34)/AB21</f>
        <v>3.7958089605127738</v>
      </c>
      <c r="AC56" s="6">
        <f>MAX($AA$3:$AC$34)/AC21</f>
        <v>4.7082040592075494</v>
      </c>
      <c r="AE56" s="6">
        <f>MAX($AE$3:$AG$34)/AE21</f>
        <v>1.1832473709174975</v>
      </c>
      <c r="AF56" s="6">
        <f>MAX($AE$3:$AG$34)/AF21</f>
        <v>4.1149327924032013</v>
      </c>
      <c r="AG56" s="6">
        <f>MAX($AE$3:$AG$34)/AG21</f>
        <v>4.3553143800872949</v>
      </c>
      <c r="AI56" s="17">
        <f>MAX($AI$3:$AK$34)/AI21</f>
        <v>1.1766159725841348</v>
      </c>
      <c r="AJ56" s="17">
        <f>MAX($AI$3:$AK$34)/AJ21</f>
        <v>4.2331681361122833</v>
      </c>
      <c r="AK56" s="17">
        <f>MAX($AI$3:$AK$34)/AK21</f>
        <v>4.3592826633900881</v>
      </c>
      <c r="AL56" s="16"/>
      <c r="AM56" s="6">
        <f>MAX($AM$3:$AO$34)/AM21</f>
        <v>1.1822294231336652</v>
      </c>
      <c r="AN56" s="6">
        <f t="shared" si="29"/>
        <v>3.6360131448945401</v>
      </c>
      <c r="AO56" s="6">
        <f>MAX($AM$3:$AO$34)/AO21</f>
        <v>4.272728419989904</v>
      </c>
    </row>
    <row r="57" spans="7:41" x14ac:dyDescent="0.55000000000000004">
      <c r="G57" s="6">
        <f t="shared" ref="G57:I57" si="40">MAX($G$3:$I$34)/G22</f>
        <v>1.1319240605840943</v>
      </c>
      <c r="H57" s="6">
        <f t="shared" si="40"/>
        <v>3.9904187909752356</v>
      </c>
      <c r="I57" s="6">
        <f t="shared" si="40"/>
        <v>3.7591611497740969</v>
      </c>
      <c r="K57" s="6">
        <f t="shared" ref="K57:M57" si="41">MAX($K$3:$M$34)/K22</f>
        <v>1.1269519977525211</v>
      </c>
      <c r="L57" s="6">
        <f t="shared" si="41"/>
        <v>3.997035783224451</v>
      </c>
      <c r="M57" s="6">
        <f t="shared" si="41"/>
        <v>3.6704798220527488</v>
      </c>
      <c r="O57" s="6">
        <f>MAX($O$3:$Q$34)/O22</f>
        <v>1.0823996108739122</v>
      </c>
      <c r="P57" s="6">
        <f>MAX($O$3:$Q$34)/P22</f>
        <v>3.8641018715029904</v>
      </c>
      <c r="Q57" s="6">
        <f>MAX($O$3:$Q$34)/Q22</f>
        <v>3.755473549200063</v>
      </c>
      <c r="S57" s="6">
        <f>MAX($S$3:$U$34)/S22</f>
        <v>1.0909673516917422</v>
      </c>
      <c r="T57" s="6">
        <f>MAX($S$3:$U$34)/T22</f>
        <v>3.7816375972891834</v>
      </c>
      <c r="U57" s="6">
        <f>MAX($S$3:$U$34)/U22</f>
        <v>3.8283819239606931</v>
      </c>
      <c r="W57" s="6">
        <f>MAX($W$3:$Y$34)/W22</f>
        <v>1.0838674971320428</v>
      </c>
      <c r="X57" s="6">
        <f>MAX($W$3:$Y$34)/X22</f>
        <v>3.8354267803218534</v>
      </c>
      <c r="Y57" s="6">
        <f>MAX($W$3:$Y$34)/Y22</f>
        <v>3.8014533165623532</v>
      </c>
      <c r="AA57" s="6">
        <f>MAX($AA$3:$AC$34)/AA22</f>
        <v>1.1069688363743435</v>
      </c>
      <c r="AB57" s="6">
        <f>MAX($AA$3:$AC$34)/AB22</f>
        <v>3.4075094145440086</v>
      </c>
      <c r="AC57" s="6">
        <f>MAX($AA$3:$AC$34)/AC22</f>
        <v>3.8322043930027623</v>
      </c>
      <c r="AE57" s="6">
        <f>MAX($AE$3:$AG$34)/AE22</f>
        <v>1.1027501050380426</v>
      </c>
      <c r="AF57" s="6">
        <f>MAX($AE$3:$AG$34)/AF22</f>
        <v>3.622520065150415</v>
      </c>
      <c r="AG57" s="6">
        <f>MAX($AE$3:$AG$34)/AG22</f>
        <v>3.4695987219246311</v>
      </c>
      <c r="AI57" s="17">
        <f>MAX($AI$3:$AK$34)/AI22</f>
        <v>1.1030758411370618</v>
      </c>
      <c r="AJ57" s="17">
        <f>MAX($AI$3:$AK$34)/AJ22</f>
        <v>3.6933422232577278</v>
      </c>
      <c r="AK57" s="17">
        <f>MAX($AI$3:$AK$34)/AK22</f>
        <v>3.4724117239249863</v>
      </c>
      <c r="AL57" s="16"/>
      <c r="AM57" s="6">
        <f>MAX($AM$3:$AO$34)/AM22</f>
        <v>1.1009400739442459</v>
      </c>
      <c r="AN57" s="6">
        <f t="shared" si="29"/>
        <v>3.2227975822188379</v>
      </c>
      <c r="AO57" s="6">
        <f>MAX($AM$3:$AO$34)/AO22</f>
        <v>3.4288448684450388</v>
      </c>
    </row>
    <row r="58" spans="7:41" x14ac:dyDescent="0.55000000000000004">
      <c r="G58" s="6">
        <f t="shared" ref="G58:I58" si="42">MAX($G$3:$I$34)/G23</f>
        <v>1.0326318289564986</v>
      </c>
      <c r="H58" s="6">
        <f t="shared" si="42"/>
        <v>3.8674366563702929</v>
      </c>
      <c r="I58" s="6">
        <f t="shared" si="42"/>
        <v>3.7162748758928843</v>
      </c>
      <c r="K58" s="6">
        <f t="shared" ref="K58:M58" si="43">MAX($K$3:$M$34)/K23</f>
        <v>1.0383854728514923</v>
      </c>
      <c r="L58" s="6">
        <f t="shared" si="43"/>
        <v>3.8871125995361737</v>
      </c>
      <c r="M58" s="6">
        <f t="shared" si="43"/>
        <v>3.6009156910688196</v>
      </c>
      <c r="O58" s="6">
        <f>MAX($O$3:$Q$34)/O23</f>
        <v>1.0055166846071044</v>
      </c>
      <c r="P58" s="6">
        <f>MAX($O$3:$Q$34)/P23</f>
        <v>3.8588306923978051</v>
      </c>
      <c r="Q58" s="6">
        <f>MAX($O$3:$Q$34)/Q23</f>
        <v>3.7529963796088777</v>
      </c>
      <c r="S58" s="6">
        <f>MAX($S$3:$U$34)/S23</f>
        <v>1.0167308468429088</v>
      </c>
      <c r="T58" s="6">
        <f>MAX($S$3:$U$34)/T23</f>
        <v>3.7882540757583087</v>
      </c>
      <c r="U58" s="6">
        <f>MAX($S$3:$U$34)/U23</f>
        <v>3.8378729400232801</v>
      </c>
      <c r="W58" s="6">
        <f>MAX($W$3:$Y$34)/W23</f>
        <v>1.0084828724372981</v>
      </c>
      <c r="X58" s="6">
        <f>MAX($W$3:$Y$34)/X23</f>
        <v>3.8509713917268589</v>
      </c>
      <c r="Y58" s="6">
        <f>MAX($W$3:$Y$34)/Y23</f>
        <v>3.8190475465493354</v>
      </c>
      <c r="AA58" s="6">
        <f>MAX($AA$3:$AC$34)/AA23</f>
        <v>1.0333652533205653</v>
      </c>
      <c r="AB58" s="6">
        <f>MAX($AA$3:$AC$34)/AB23</f>
        <v>3.3949430510646974</v>
      </c>
      <c r="AC58" s="6">
        <f>MAX($AA$3:$AC$34)/AC23</f>
        <v>3.8510468159348648</v>
      </c>
      <c r="AE58" s="6">
        <f>MAX($AE$3:$AG$34)/AE23</f>
        <v>1</v>
      </c>
      <c r="AF58" s="6">
        <f>MAX($AE$3:$AG$34)/AF23</f>
        <v>3.5398795750610432</v>
      </c>
      <c r="AG58" s="6">
        <f>MAX($AE$3:$AG$34)/AG23</f>
        <v>3.3727161997563946</v>
      </c>
      <c r="AI58" s="17">
        <f>MAX($AI$3:$AK$34)/AI23</f>
        <v>1</v>
      </c>
      <c r="AJ58" s="17">
        <f>MAX($AI$3:$AK$34)/AJ23</f>
        <v>3.6142012551920688</v>
      </c>
      <c r="AK58" s="17">
        <f>MAX($AI$3:$AK$34)/AK23</f>
        <v>3.3757657314774541</v>
      </c>
      <c r="AL58" s="16"/>
      <c r="AM58" s="6">
        <f>MAX($AM$3:$AO$34)/AM23</f>
        <v>1</v>
      </c>
      <c r="AN58" s="6">
        <f t="shared" si="29"/>
        <v>3.1351053535629458</v>
      </c>
      <c r="AO58" s="6">
        <f>MAX($AM$3:$AO$34)/AO23</f>
        <v>3.3411062318053979</v>
      </c>
    </row>
    <row r="59" spans="7:41" x14ac:dyDescent="0.55000000000000004">
      <c r="G59" s="6">
        <f t="shared" ref="G59:I59" si="44">MAX($G$3:$I$34)/G24</f>
        <v>1.0843949745450634</v>
      </c>
      <c r="H59" s="6">
        <f t="shared" si="44"/>
        <v>4.0405483465961582</v>
      </c>
      <c r="I59" s="6">
        <f t="shared" si="44"/>
        <v>3.7286106328024107</v>
      </c>
      <c r="K59" s="6">
        <f t="shared" ref="K59:M59" si="45">MAX($K$3:$M$34)/K24</f>
        <v>1.0816494840708424</v>
      </c>
      <c r="L59" s="6">
        <f t="shared" si="45"/>
        <v>4.0580088632294489</v>
      </c>
      <c r="M59" s="6">
        <f t="shared" si="45"/>
        <v>3.5981317530671451</v>
      </c>
      <c r="O59" s="6">
        <f>MAX($O$3:$Q$34)/O24</f>
        <v>1.0833785921234558</v>
      </c>
      <c r="P59" s="6">
        <f>MAX($O$3:$Q$34)/P24</f>
        <v>4.1833365361317441</v>
      </c>
      <c r="Q59" s="6">
        <f>MAX($O$3:$Q$34)/Q24</f>
        <v>3.7201480061520629</v>
      </c>
      <c r="S59" s="6">
        <f>MAX($S$3:$U$34)/S24</f>
        <v>1.0956829566336763</v>
      </c>
      <c r="T59" s="6">
        <f>MAX($S$3:$U$34)/T24</f>
        <v>4.0935204788415795</v>
      </c>
      <c r="U59" s="6">
        <f>MAX($S$3:$U$34)/U24</f>
        <v>3.818953254923636</v>
      </c>
      <c r="W59" s="6">
        <f>MAX($W$3:$Y$34)/W24</f>
        <v>1.0833104806407103</v>
      </c>
      <c r="X59" s="6">
        <f>MAX($W$3:$Y$34)/X24</f>
        <v>4.16591656425416</v>
      </c>
      <c r="Y59" s="6">
        <f>MAX($W$3:$Y$34)/Y24</f>
        <v>3.76969027546098</v>
      </c>
      <c r="AA59" s="6">
        <f>MAX($AA$3:$AC$34)/AA24</f>
        <v>1.1142821630717454</v>
      </c>
      <c r="AB59" s="6">
        <f>MAX($AA$3:$AC$34)/AB24</f>
        <v>3.6605053630039102</v>
      </c>
      <c r="AC59" s="6">
        <f>MAX($AA$3:$AC$34)/AC24</f>
        <v>3.8428058467230062</v>
      </c>
      <c r="AE59" s="6">
        <f>MAX($AE$3:$AG$34)/AE24</f>
        <v>1.0312465085099252</v>
      </c>
      <c r="AF59" s="6">
        <f>MAX($AE$3:$AG$34)/AF24</f>
        <v>3.6650011581350714</v>
      </c>
      <c r="AG59" s="6">
        <f>MAX($AE$3:$AG$34)/AG24</f>
        <v>3.2890868596881959</v>
      </c>
      <c r="AI59" s="17">
        <f>MAX($AI$3:$AK$34)/AI24</f>
        <v>1.030629995054658</v>
      </c>
      <c r="AJ59" s="17">
        <f>MAX($AI$3:$AK$34)/AJ24</f>
        <v>3.756540460413119</v>
      </c>
      <c r="AK59" s="17">
        <f>MAX($AI$3:$AK$34)/AK24</f>
        <v>3.2683934732589179</v>
      </c>
      <c r="AL59" s="16"/>
      <c r="AM59" s="6">
        <f>MAX($AM$3:$AO$34)/AM24</f>
        <v>1.0325686506532639</v>
      </c>
      <c r="AN59" s="6">
        <f t="shared" si="29"/>
        <v>3.2408752835769463</v>
      </c>
      <c r="AO59" s="6">
        <f>MAX($AM$3:$AO$34)/AO24</f>
        <v>3.2625959421239528</v>
      </c>
    </row>
    <row r="60" spans="7:41" x14ac:dyDescent="0.55000000000000004">
      <c r="G60" s="6">
        <f t="shared" ref="G60:I60" si="46">MAX($G$3:$I$34)/G25</f>
        <v>2.1521080829256931</v>
      </c>
      <c r="H60" s="6">
        <f t="shared" si="46"/>
        <v>6.3849159614260502</v>
      </c>
      <c r="I60" s="6">
        <f t="shared" si="46"/>
        <v>4.0538450428445802</v>
      </c>
      <c r="K60" s="6">
        <f t="shared" ref="K60:M60" si="47">MAX($K$3:$M$34)/K25</f>
        <v>2.1544077661176155</v>
      </c>
      <c r="L60" s="6">
        <f t="shared" si="47"/>
        <v>6.3592905326974485</v>
      </c>
      <c r="M60" s="6">
        <f t="shared" si="47"/>
        <v>3.9751267709581519</v>
      </c>
      <c r="O60" s="6">
        <f>MAX($O$3:$Q$34)/O25</f>
        <v>2.1160130166511708</v>
      </c>
      <c r="P60" s="6">
        <f>MAX($O$3:$Q$34)/P25</f>
        <v>6.5161305435932677</v>
      </c>
      <c r="Q60" s="6">
        <f>MAX($O$3:$Q$34)/Q25</f>
        <v>4.1034191676637874</v>
      </c>
      <c r="S60" s="6">
        <f>MAX($S$3:$U$34)/S25</f>
        <v>2.1405053747030189</v>
      </c>
      <c r="T60" s="6">
        <f>MAX($S$3:$U$34)/T25</f>
        <v>6.4147944868827951</v>
      </c>
      <c r="U60" s="6">
        <f>MAX($S$3:$U$34)/U25</f>
        <v>4.1910139420375181</v>
      </c>
      <c r="W60" s="6">
        <f>MAX($W$3:$Y$34)/W25</f>
        <v>2.124269600121945</v>
      </c>
      <c r="X60" s="6">
        <f>MAX($W$3:$Y$34)/X25</f>
        <v>6.5274718411838872</v>
      </c>
      <c r="Y60" s="6">
        <f>MAX($W$3:$Y$34)/Y25</f>
        <v>4.1422178554620741</v>
      </c>
      <c r="AA60" s="6">
        <f>MAX($AA$3:$AC$34)/AA25</f>
        <v>2.1585605274855535</v>
      </c>
      <c r="AB60" s="6">
        <f>MAX($AA$3:$AC$34)/AB25</f>
        <v>5.7295609852023004</v>
      </c>
      <c r="AC60" s="6">
        <f>MAX($AA$3:$AC$34)/AC25</f>
        <v>4.2504112007060613</v>
      </c>
      <c r="AE60" s="6">
        <f>MAX($AE$3:$AG$34)/AE25</f>
        <v>2.0555495755650162</v>
      </c>
      <c r="AF60" s="6">
        <f>MAX($AE$3:$AG$34)/AF25</f>
        <v>5.8413100229412231</v>
      </c>
      <c r="AG60" s="6">
        <f>MAX($AE$3:$AG$34)/AG25</f>
        <v>3.4687511744146717</v>
      </c>
      <c r="AI60" s="17">
        <f>MAX($AI$3:$AK$34)/AI25</f>
        <v>2.0538659278709313</v>
      </c>
      <c r="AJ60" s="17">
        <f>MAX($AI$3:$AK$34)/AJ25</f>
        <v>6.0025096225696846</v>
      </c>
      <c r="AK60" s="17">
        <f>MAX($AI$3:$AK$34)/AK25</f>
        <v>3.4495738644584555</v>
      </c>
      <c r="AL60" s="16"/>
      <c r="AM60" s="6">
        <f>MAX($AM$3:$AO$34)/AM25</f>
        <v>2.0367929494217263</v>
      </c>
      <c r="AN60" s="6">
        <f t="shared" si="29"/>
        <v>5.1443222997971576</v>
      </c>
      <c r="AO60" s="6">
        <f>MAX($AM$3:$AO$34)/AO25</f>
        <v>3.4687874596588291</v>
      </c>
    </row>
    <row r="61" spans="7:41" x14ac:dyDescent="0.55000000000000004">
      <c r="G61" s="6">
        <f t="shared" ref="G61:I61" si="48">MAX($G$3:$I$34)/G26</f>
        <v>1.2174934797529169</v>
      </c>
      <c r="H61" s="6">
        <f t="shared" si="48"/>
        <v>3.4627475415673064</v>
      </c>
      <c r="I61" s="6">
        <f t="shared" si="48"/>
        <v>4.5384508322212485</v>
      </c>
      <c r="K61" s="6">
        <f t="shared" ref="K61:M61" si="49">MAX($K$3:$M$34)/K26</f>
        <v>1.2125393015143888</v>
      </c>
      <c r="L61" s="6">
        <f t="shared" si="49"/>
        <v>3.4256001829401193</v>
      </c>
      <c r="M61" s="6">
        <f t="shared" si="49"/>
        <v>4.4332013946046924</v>
      </c>
      <c r="O61" s="6">
        <f>MAX($O$3:$Q$34)/O26</f>
        <v>1.2393249555077561</v>
      </c>
      <c r="P61" s="6">
        <f>MAX($O$3:$Q$34)/P26</f>
        <v>3.7943784291733609</v>
      </c>
      <c r="Q61" s="6">
        <f>MAX($O$3:$Q$34)/Q26</f>
        <v>4.5829420325672077</v>
      </c>
      <c r="S61" s="6">
        <f>MAX($S$3:$U$34)/S26</f>
        <v>1.2501699605531866</v>
      </c>
      <c r="T61" s="6">
        <f>MAX($S$3:$U$34)/T26</f>
        <v>3.7187814125040566</v>
      </c>
      <c r="U61" s="6">
        <f>MAX($S$3:$U$34)/U26</f>
        <v>4.6590741190645</v>
      </c>
      <c r="W61" s="6">
        <f>MAX($W$3:$Y$34)/W26</f>
        <v>1.2407854872815858</v>
      </c>
      <c r="X61" s="6">
        <f>MAX($W$3:$Y$34)/X26</f>
        <v>3.7679632286119853</v>
      </c>
      <c r="Y61" s="6">
        <f>MAX($W$3:$Y$34)/Y26</f>
        <v>4.6160279707411327</v>
      </c>
      <c r="AA61" s="6">
        <f>MAX($AA$3:$AC$34)/AA26</f>
        <v>1.2634371300588436</v>
      </c>
      <c r="AB61" s="6">
        <f>MAX($AA$3:$AC$34)/AB26</f>
        <v>3.4226601274558752</v>
      </c>
      <c r="AC61" s="6">
        <f>MAX($AA$3:$AC$34)/AC26</f>
        <v>4.6412670346387586</v>
      </c>
      <c r="AE61" s="6">
        <f>MAX($AE$3:$AG$34)/AE26</f>
        <v>1.1199847918280343</v>
      </c>
      <c r="AF61" s="6">
        <f>MAX($AE$3:$AG$34)/AF26</f>
        <v>3.1863661731960899</v>
      </c>
      <c r="AG61" s="6">
        <f>MAX($AE$3:$AG$34)/AG26</f>
        <v>3.7539654564681002</v>
      </c>
      <c r="AI61" s="17">
        <f>MAX($AI$3:$AK$34)/AI26</f>
        <v>1.1221571226315632</v>
      </c>
      <c r="AJ61" s="17">
        <f>MAX($AI$3:$AK$34)/AJ26</f>
        <v>3.2593177500691741</v>
      </c>
      <c r="AK61" s="17">
        <f>MAX($AI$3:$AK$34)/AK26</f>
        <v>3.7460483462446876</v>
      </c>
      <c r="AL61" s="16"/>
      <c r="AM61" s="6">
        <f>MAX($AM$3:$AO$34)/AM26</f>
        <v>1.1150077885980194</v>
      </c>
      <c r="AN61" s="6">
        <f t="shared" si="29"/>
        <v>2.8955139635421343</v>
      </c>
      <c r="AO61" s="6">
        <f>MAX($AM$3:$AO$34)/AO26</f>
        <v>3.6893630236625459</v>
      </c>
    </row>
    <row r="62" spans="7:41" x14ac:dyDescent="0.55000000000000004">
      <c r="G62" s="6">
        <f t="shared" ref="G62:I62" si="50">MAX($G$3:$I$34)/G27</f>
        <v>1.2675191640419123</v>
      </c>
      <c r="H62" s="6">
        <f t="shared" si="50"/>
        <v>3.5023574288625108</v>
      </c>
      <c r="I62" s="6">
        <f t="shared" si="50"/>
        <v>5.1387015587413272</v>
      </c>
      <c r="K62" s="6">
        <f t="shared" ref="K62:M62" si="51">MAX($K$3:$M$34)/K27</f>
        <v>1.2762397549576221</v>
      </c>
      <c r="L62" s="6">
        <f t="shared" si="51"/>
        <v>3.5002646922450649</v>
      </c>
      <c r="M62" s="6">
        <f t="shared" si="51"/>
        <v>4.8958162051198251</v>
      </c>
      <c r="O62" s="6">
        <f>MAX($O$3:$Q$34)/O27</f>
        <v>1.3088386756102535</v>
      </c>
      <c r="P62" s="6">
        <f>MAX($O$3:$Q$34)/P27</f>
        <v>3.9834754797441363</v>
      </c>
      <c r="Q62" s="6">
        <f>MAX($O$3:$Q$34)/Q27</f>
        <v>5.1062833808752126</v>
      </c>
      <c r="S62" s="6">
        <f>MAX($S$3:$U$34)/S27</f>
        <v>1.3139566751869522</v>
      </c>
      <c r="T62" s="6">
        <f>MAX($S$3:$U$34)/T27</f>
        <v>3.9020181048085707</v>
      </c>
      <c r="U62" s="6">
        <f>MAX($S$3:$U$34)/U27</f>
        <v>5.1900758889613048</v>
      </c>
      <c r="W62" s="6">
        <f>MAX($W$3:$Y$34)/W27</f>
        <v>1.3056353642921832</v>
      </c>
      <c r="X62" s="6">
        <f>MAX($W$3:$Y$34)/X27</f>
        <v>3.9662347518795804</v>
      </c>
      <c r="Y62" s="6">
        <f>MAX($W$3:$Y$34)/Y27</f>
        <v>5.1486478581551838</v>
      </c>
      <c r="AA62" s="6">
        <f>MAX($AA$3:$AC$34)/AA27</f>
        <v>1.3302963303705242</v>
      </c>
      <c r="AB62" s="6">
        <f>MAX($AA$3:$AC$34)/AB27</f>
        <v>3.5909499864428502</v>
      </c>
      <c r="AC62" s="6">
        <f>MAX($AA$3:$AC$34)/AC27</f>
        <v>5.1608546440828071</v>
      </c>
      <c r="AE62" s="6">
        <f>MAX($AE$3:$AG$34)/AE27</f>
        <v>1.1320153061224489</v>
      </c>
      <c r="AF62" s="6">
        <f>MAX($AE$3:$AG$34)/AF27</f>
        <v>3.1987154310006236</v>
      </c>
      <c r="AG62" s="6">
        <f>MAX($AE$3:$AG$34)/AG27</f>
        <v>4.0925819181483618</v>
      </c>
      <c r="AI62" s="17">
        <f>MAX($AI$3:$AK$34)/AI27</f>
        <v>1.1368224299065421</v>
      </c>
      <c r="AJ62" s="17">
        <f>MAX($AI$3:$AK$34)/AJ27</f>
        <v>3.2763164114848844</v>
      </c>
      <c r="AK62" s="17">
        <f>MAX($AI$3:$AK$34)/AK27</f>
        <v>4.0938056768588948</v>
      </c>
      <c r="AL62" s="16"/>
      <c r="AM62" s="6">
        <f>MAX($AM$3:$AO$34)/AM27</f>
        <v>1.1269509471392767</v>
      </c>
      <c r="AN62" s="6">
        <f t="shared" si="29"/>
        <v>2.9130902395374449</v>
      </c>
      <c r="AO62" s="6">
        <f>MAX($AM$3:$AO$34)/AO27</f>
        <v>4.0140016005216514</v>
      </c>
    </row>
    <row r="63" spans="7:41" x14ac:dyDescent="0.55000000000000004">
      <c r="G63" s="6">
        <f t="shared" ref="G63:I63" si="52">MAX($G$3:$I$34)/G28</f>
        <v>1.1555069178456969</v>
      </c>
      <c r="H63" s="6">
        <f t="shared" si="52"/>
        <v>3.7201967005182599</v>
      </c>
      <c r="I63" s="6">
        <f t="shared" si="52"/>
        <v>4.3977786592621975</v>
      </c>
      <c r="K63" s="6">
        <f t="shared" ref="K63:M63" si="53">MAX($K$3:$M$34)/K28</f>
        <v>1.1647633256146779</v>
      </c>
      <c r="L63" s="6">
        <f t="shared" si="53"/>
        <v>3.7155441358275878</v>
      </c>
      <c r="M63" s="6">
        <f t="shared" si="53"/>
        <v>4.183118010742132</v>
      </c>
      <c r="O63" s="6">
        <f>MAX($O$3:$Q$34)/O28</f>
        <v>1.2076192084127253</v>
      </c>
      <c r="P63" s="6">
        <f>MAX($O$3:$Q$34)/P28</f>
        <v>4.3188334540937792</v>
      </c>
      <c r="Q63" s="6">
        <f>MAX($O$3:$Q$34)/Q28</f>
        <v>4.3436366791012402</v>
      </c>
      <c r="S63" s="6">
        <f>MAX($S$3:$U$34)/S28</f>
        <v>1.2139443852339891</v>
      </c>
      <c r="T63" s="6">
        <f>MAX($S$3:$U$34)/T28</f>
        <v>4.2176500686720706</v>
      </c>
      <c r="U63" s="6">
        <f>MAX($S$3:$U$34)/U28</f>
        <v>4.4830754698077833</v>
      </c>
      <c r="W63" s="6">
        <f>MAX($W$3:$Y$34)/W28</f>
        <v>1.2040593470100895</v>
      </c>
      <c r="X63" s="6">
        <f>MAX($W$3:$Y$34)/X28</f>
        <v>4.2909817136796731</v>
      </c>
      <c r="Y63" s="6">
        <f>MAX($W$3:$Y$34)/Y28</f>
        <v>4.4456623836951703</v>
      </c>
      <c r="AA63" s="6">
        <f>MAX($AA$3:$AC$34)/AA28</f>
        <v>1.2328759877712074</v>
      </c>
      <c r="AB63" s="6">
        <f>MAX($AA$3:$AC$34)/AB28</f>
        <v>3.8219369902635627</v>
      </c>
      <c r="AC63" s="6">
        <f>MAX($AA$3:$AC$34)/AC28</f>
        <v>4.4977057050567106</v>
      </c>
      <c r="AE63" s="6">
        <f>MAX($AE$3:$AG$34)/AE28</f>
        <v>1.0005890068910193</v>
      </c>
      <c r="AF63" s="6">
        <f>MAX($AE$3:$AG$34)/AF28</f>
        <v>3.3140839591873372</v>
      </c>
      <c r="AG63" s="6">
        <f>MAX($AE$3:$AG$34)/AG28</f>
        <v>3.3357024972593994</v>
      </c>
      <c r="AI63" s="17">
        <f>MAX($AI$3:$AK$34)/AI28</f>
        <v>1.0004733497383147</v>
      </c>
      <c r="AJ63" s="17">
        <f>MAX($AI$3:$AK$34)/AJ28</f>
        <v>3.4000175694993491</v>
      </c>
      <c r="AK63" s="17">
        <f>MAX($AI$3:$AK$34)/AK28</f>
        <v>3.3380114941627528</v>
      </c>
      <c r="AL63" s="16"/>
      <c r="AM63" s="6">
        <f>MAX($AM$3:$AO$34)/AM28</f>
        <v>1.0000782762679647</v>
      </c>
      <c r="AN63" s="6">
        <f t="shared" si="29"/>
        <v>2.9684108085360079</v>
      </c>
      <c r="AO63" s="6">
        <f>MAX($AM$3:$AO$34)/AO28</f>
        <v>3.30871617461667</v>
      </c>
    </row>
    <row r="64" spans="7:41" x14ac:dyDescent="0.55000000000000004">
      <c r="G64" s="6">
        <f t="shared" ref="G64:I64" si="54">MAX($G$3:$I$34)/G29</f>
        <v>1.2833578349095371</v>
      </c>
      <c r="H64" s="6">
        <f t="shared" si="54"/>
        <v>5.014632116477979</v>
      </c>
      <c r="I64" s="6">
        <f t="shared" si="54"/>
        <v>4.8156055015387018</v>
      </c>
      <c r="K64" s="6">
        <f t="shared" ref="K64:M64" si="55">MAX($K$3:$M$34)/K29</f>
        <v>1.2979407221484396</v>
      </c>
      <c r="L64" s="6">
        <f t="shared" si="55"/>
        <v>4.9852221615578607</v>
      </c>
      <c r="M64" s="6">
        <f t="shared" si="55"/>
        <v>4.6560326741520646</v>
      </c>
      <c r="O64" s="6">
        <f>MAX($O$3:$Q$34)/O29</f>
        <v>1.3624986393817351</v>
      </c>
      <c r="P64" s="6">
        <f>MAX($O$3:$Q$34)/P29</f>
        <v>5.8483125790622674</v>
      </c>
      <c r="Q64" s="6">
        <f>MAX($O$3:$Q$34)/Q29</f>
        <v>4.7334581241668792</v>
      </c>
      <c r="S64" s="6">
        <f>MAX($S$3:$U$34)/S29</f>
        <v>1.3741847174369564</v>
      </c>
      <c r="T64" s="6">
        <f>MAX($S$3:$U$34)/T29</f>
        <v>5.6980244248517407</v>
      </c>
      <c r="U64" s="6">
        <f>MAX($S$3:$U$34)/U29</f>
        <v>4.8538900998997905</v>
      </c>
      <c r="W64" s="6">
        <f>MAX($W$3:$Y$34)/W29</f>
        <v>1.3654073826106126</v>
      </c>
      <c r="X64" s="6">
        <f>MAX($W$3:$Y$34)/X29</f>
        <v>5.8180255778677692</v>
      </c>
      <c r="Y64" s="6">
        <f>MAX($W$3:$Y$34)/Y29</f>
        <v>4.7842709058485831</v>
      </c>
      <c r="AA64" s="6">
        <f>MAX($AA$3:$AC$34)/AA29</f>
        <v>1.3970602338003586</v>
      </c>
      <c r="AB64" s="6">
        <f>MAX($AA$3:$AC$34)/AB29</f>
        <v>5.0341020513064176</v>
      </c>
      <c r="AC64" s="6">
        <f>MAX($AA$3:$AC$34)/AC29</f>
        <v>4.8966635715456137</v>
      </c>
      <c r="AE64" s="6">
        <f>MAX($AE$3:$AG$34)/AE29</f>
        <v>1.0676732896598791</v>
      </c>
      <c r="AF64" s="6">
        <f>MAX($AE$3:$AG$34)/AF29</f>
        <v>4.3263597018889737</v>
      </c>
      <c r="AG64" s="6">
        <f>MAX($AE$3:$AG$34)/AG29</f>
        <v>3.4339926830780678</v>
      </c>
      <c r="AI64" s="17">
        <f>MAX($AI$3:$AK$34)/AI29</f>
        <v>1.0733740086296939</v>
      </c>
      <c r="AJ64" s="17">
        <f>MAX($AI$3:$AK$34)/AJ29</f>
        <v>4.4599185290939731</v>
      </c>
      <c r="AK64" s="17">
        <f>MAX($AI$3:$AK$34)/AK29</f>
        <v>3.4123351901574961</v>
      </c>
      <c r="AL64" s="16"/>
      <c r="AM64" s="6">
        <f>MAX($AM$3:$AO$34)/AM29</f>
        <v>1.0692683758740265</v>
      </c>
      <c r="AN64" s="6">
        <f t="shared" si="29"/>
        <v>3.7802763433356597</v>
      </c>
      <c r="AO64" s="6">
        <f>MAX($AM$3:$AO$34)/AO29</f>
        <v>3.4258610919982191</v>
      </c>
    </row>
    <row r="65" spans="7:41" x14ac:dyDescent="0.55000000000000004">
      <c r="G65" s="6">
        <f t="shared" ref="G65:I65" si="56">MAX($G$3:$I$34)/G30</f>
        <v>1.4048239028377016</v>
      </c>
      <c r="H65" s="6">
        <f t="shared" si="56"/>
        <v>4.9563788767812236</v>
      </c>
      <c r="I65" s="6">
        <f t="shared" si="56"/>
        <v>4.6766525918833075</v>
      </c>
      <c r="K65" s="6">
        <f t="shared" ref="K65:M65" si="57">MAX($K$3:$M$34)/K30</f>
        <v>1.4088199940633808</v>
      </c>
      <c r="L65" s="6">
        <f t="shared" si="57"/>
        <v>4.9949359438577483</v>
      </c>
      <c r="M65" s="6">
        <f t="shared" si="57"/>
        <v>4.5457834295847439</v>
      </c>
      <c r="O65" s="6">
        <f>MAX($O$3:$Q$34)/O30</f>
        <v>1.5185753584199495</v>
      </c>
      <c r="P65" s="6">
        <f>MAX($O$3:$Q$34)/P30</f>
        <v>5.9659338695263626</v>
      </c>
      <c r="Q65" s="6">
        <f>MAX($O$3:$Q$34)/Q30</f>
        <v>4.6356414743215844</v>
      </c>
      <c r="S65" s="6">
        <f>MAX($S$3:$U$34)/S30</f>
        <v>1.5175971265778627</v>
      </c>
      <c r="T65" s="6">
        <f>MAX($S$3:$U$34)/T30</f>
        <v>5.7817456899203821</v>
      </c>
      <c r="U65" s="6">
        <f>MAX($S$3:$U$34)/U30</f>
        <v>4.7204882827217238</v>
      </c>
      <c r="W65" s="6">
        <f>MAX($W$3:$Y$34)/W30</f>
        <v>1.5094412853145591</v>
      </c>
      <c r="X65" s="6">
        <f>MAX($W$3:$Y$34)/X30</f>
        <v>5.9398734814158809</v>
      </c>
      <c r="Y65" s="6">
        <f>MAX($W$3:$Y$34)/Y30</f>
        <v>4.6633978118812802</v>
      </c>
      <c r="AA65" s="6">
        <f>MAX($AA$3:$AC$34)/AA30</f>
        <v>1.5415046948139468</v>
      </c>
      <c r="AB65" s="6">
        <f>MAX($AA$3:$AC$34)/AB30</f>
        <v>5.1560142808478258</v>
      </c>
      <c r="AC65" s="6">
        <f>MAX($AA$3:$AC$34)/AC30</f>
        <v>4.7761799576252084</v>
      </c>
      <c r="AE65" s="6">
        <f>MAX($AE$3:$AG$34)/AE30</f>
        <v>1.1196270335948761</v>
      </c>
      <c r="AF65" s="6">
        <f>MAX($AE$3:$AG$34)/AF30</f>
        <v>4.1463889429628189</v>
      </c>
      <c r="AG65" s="6">
        <f>MAX($AE$3:$AG$34)/AG30</f>
        <v>3.084566584418984</v>
      </c>
      <c r="AI65" s="17">
        <f>MAX($AI$3:$AK$34)/AI30</f>
        <v>1.1220514983000818</v>
      </c>
      <c r="AJ65" s="17">
        <f>MAX($AI$3:$AK$34)/AJ30</f>
        <v>4.2957982999468101</v>
      </c>
      <c r="AK65" s="17">
        <f>MAX($AI$3:$AK$34)/AK30</f>
        <v>3.0701223029883464</v>
      </c>
      <c r="AL65" s="16"/>
      <c r="AM65" s="6">
        <f>MAX($AM$3:$AO$34)/AM30</f>
        <v>1.1202762217053084</v>
      </c>
      <c r="AN65" s="6">
        <f t="shared" si="29"/>
        <v>3.6589019111997279</v>
      </c>
      <c r="AO65" s="6">
        <f>MAX($AM$3:$AO$34)/AO30</f>
        <v>3.0913091710911358</v>
      </c>
    </row>
    <row r="66" spans="7:41" x14ac:dyDescent="0.55000000000000004">
      <c r="G66" s="6">
        <f t="shared" ref="G66:I66" si="58">MAX($G$3:$I$34)/G31</f>
        <v>1.520958658865331</v>
      </c>
      <c r="H66" s="6">
        <f t="shared" si="58"/>
        <v>4.6291633785527289</v>
      </c>
      <c r="I66" s="6">
        <f t="shared" si="58"/>
        <v>6.0048746140930511</v>
      </c>
      <c r="K66" s="6">
        <f t="shared" ref="K66:M66" si="59">MAX($K$3:$M$34)/K31</f>
        <v>1.5164475193088514</v>
      </c>
      <c r="L66" s="6">
        <f t="shared" si="59"/>
        <v>4.6195317506589122</v>
      </c>
      <c r="M66" s="6">
        <f t="shared" si="59"/>
        <v>5.7757435554511334</v>
      </c>
      <c r="O66" s="6">
        <f>MAX($O$3:$Q$34)/O31</f>
        <v>1.6655777732684434</v>
      </c>
      <c r="P66" s="6">
        <f>MAX($O$3:$Q$34)/P31</f>
        <v>5.829682196852823</v>
      </c>
      <c r="Q66" s="6">
        <f>MAX($O$3:$Q$34)/Q31</f>
        <v>5.9586705749202942</v>
      </c>
      <c r="S66" s="6">
        <f>MAX($S$3:$U$34)/S31</f>
        <v>1.6701336556234894</v>
      </c>
      <c r="T66" s="6">
        <f>MAX($S$3:$U$34)/T31</f>
        <v>5.6871270350420629</v>
      </c>
      <c r="U66" s="6">
        <f>MAX($S$3:$U$34)/U31</f>
        <v>6.0674096362204111</v>
      </c>
      <c r="W66" s="6">
        <f>MAX($W$3:$Y$34)/W31</f>
        <v>1.6597237614754776</v>
      </c>
      <c r="X66" s="6">
        <f>MAX($W$3:$Y$34)/X31</f>
        <v>5.807687276507421</v>
      </c>
      <c r="Y66" s="6">
        <f>MAX($W$3:$Y$34)/Y31</f>
        <v>5.9934986894638627</v>
      </c>
      <c r="AA66" s="6">
        <f>MAX($AA$3:$AC$34)/AA31</f>
        <v>1.6934019150574662</v>
      </c>
      <c r="AB66" s="6">
        <f>MAX($AA$3:$AC$34)/AB31</f>
        <v>5.1605118668083598</v>
      </c>
      <c r="AC66" s="6">
        <f>MAX($AA$3:$AC$34)/AC31</f>
        <v>6.097108000083705</v>
      </c>
      <c r="AE66" s="6">
        <f>MAX($AE$3:$AG$34)/AE31</f>
        <v>1.152036345935421</v>
      </c>
      <c r="AF66" s="6">
        <f>MAX($AE$3:$AG$34)/AF31</f>
        <v>3.7443965896106177</v>
      </c>
      <c r="AG66" s="6">
        <f>MAX($AE$3:$AG$34)/AG31</f>
        <v>3.7095088819226749</v>
      </c>
      <c r="AI66" s="17">
        <f>MAX($AI$3:$AK$34)/AI31</f>
        <v>1.1551801662118582</v>
      </c>
      <c r="AJ66" s="17">
        <f>MAX($AI$3:$AK$34)/AJ31</f>
        <v>3.8499439337332899</v>
      </c>
      <c r="AK66" s="17">
        <f>MAX($AI$3:$AK$34)/AK31</f>
        <v>3.6962464280044451</v>
      </c>
      <c r="AL66" s="16"/>
      <c r="AM66" s="6">
        <f>MAX($AM$3:$AO$34)/AM31</f>
        <v>1.1521546047594255</v>
      </c>
      <c r="AN66" s="6">
        <f t="shared" si="29"/>
        <v>3.3724226547403231</v>
      </c>
      <c r="AO66" s="6">
        <f>MAX($AM$3:$AO$34)/AO31</f>
        <v>3.6955444463849108</v>
      </c>
    </row>
    <row r="67" spans="7:41" x14ac:dyDescent="0.55000000000000004">
      <c r="G67" s="6">
        <f t="shared" ref="G67:I67" si="60">MAX($G$3:$I$34)/G32</f>
        <v>1.8768282773564464</v>
      </c>
      <c r="H67" s="6">
        <f t="shared" si="60"/>
        <v>7.402081059156961</v>
      </c>
      <c r="I67" s="6">
        <f t="shared" si="60"/>
        <v>7.8131353528377474</v>
      </c>
      <c r="K67" s="6">
        <f t="shared" ref="K67:M67" si="61">MAX($K$3:$M$34)/K32</f>
        <v>1.8571818762954497</v>
      </c>
      <c r="L67" s="6">
        <f t="shared" si="61"/>
        <v>7.2972933887442721</v>
      </c>
      <c r="M67" s="6">
        <f t="shared" si="61"/>
        <v>7.566356246547234</v>
      </c>
      <c r="O67" s="6">
        <f>MAX($O$3:$Q$34)/O32</f>
        <v>2.0468950574383711</v>
      </c>
      <c r="P67" s="6">
        <f>MAX($O$3:$Q$34)/P32</f>
        <v>9.2297865515887434</v>
      </c>
      <c r="Q67" s="6">
        <f>MAX($O$3:$Q$34)/Q32</f>
        <v>7.5471080957642283</v>
      </c>
      <c r="S67" s="6">
        <f>MAX($S$3:$U$34)/S32</f>
        <v>2.0781606958429442</v>
      </c>
      <c r="T67" s="6">
        <f>MAX($S$3:$U$34)/T32</f>
        <v>8.9823065525976205</v>
      </c>
      <c r="U67" s="6">
        <f>MAX($S$3:$U$34)/U32</f>
        <v>7.6840624744459891</v>
      </c>
      <c r="W67" s="6">
        <f>MAX($W$3:$Y$34)/W32</f>
        <v>2.0564391175674901</v>
      </c>
      <c r="X67" s="6">
        <f>MAX($W$3:$Y$34)/X32</f>
        <v>9.219670865837859</v>
      </c>
      <c r="Y67" s="6">
        <f>MAX($W$3:$Y$34)/Y32</f>
        <v>7.6220810987374854</v>
      </c>
      <c r="AA67" s="6">
        <f>MAX($AA$3:$AC$34)/AA32</f>
        <v>2.1101068587299348</v>
      </c>
      <c r="AB67" s="6">
        <f>MAX($AA$3:$AC$34)/AB32</f>
        <v>7.871524189681141</v>
      </c>
      <c r="AC67" s="6">
        <f>MAX($AA$3:$AC$34)/AC32</f>
        <v>7.7359379770865688</v>
      </c>
      <c r="AE67" s="6">
        <f>MAX($AE$3:$AG$34)/AE32</f>
        <v>1.327175952664537</v>
      </c>
      <c r="AF67" s="6">
        <f>MAX($AE$3:$AG$34)/AF32</f>
        <v>5.6117496134195601</v>
      </c>
      <c r="AG67" s="6">
        <f>MAX($AE$3:$AG$34)/AG32</f>
        <v>4.4319955183866195</v>
      </c>
      <c r="AI67" s="17">
        <f>MAX($AI$3:$AK$34)/AI32</f>
        <v>1.3215758618548838</v>
      </c>
      <c r="AJ67" s="17">
        <f>MAX($AI$3:$AK$34)/AJ32</f>
        <v>5.792729979843295</v>
      </c>
      <c r="AK67" s="17">
        <f>MAX($AI$3:$AK$34)/AK32</f>
        <v>4.4315273719507209</v>
      </c>
      <c r="AL67" s="16"/>
      <c r="AM67" s="6">
        <f>MAX($AM$3:$AO$34)/AM32</f>
        <v>1.329204568207069</v>
      </c>
      <c r="AN67" s="6">
        <f t="shared" si="29"/>
        <v>4.8813933203094022</v>
      </c>
      <c r="AO67" s="6">
        <f>MAX($AM$3:$AO$34)/AO32</f>
        <v>4.4306587014414616</v>
      </c>
    </row>
    <row r="68" spans="7:41" x14ac:dyDescent="0.55000000000000004">
      <c r="G68" s="6">
        <f t="shared" ref="G68:I68" si="62">MAX($G$3:$I$34)/G33</f>
        <v>2.2581213484610707</v>
      </c>
      <c r="H68" s="6">
        <f t="shared" si="62"/>
        <v>10.301036904894637</v>
      </c>
      <c r="I68" s="6">
        <f t="shared" si="62"/>
        <v>8.720699745146776</v>
      </c>
      <c r="K68" s="6">
        <f t="shared" ref="K68:M68" si="63">MAX($K$3:$M$34)/K33</f>
        <v>2.2378291446964553</v>
      </c>
      <c r="L68" s="6">
        <f t="shared" si="63"/>
        <v>10.190116129525979</v>
      </c>
      <c r="M68" s="6">
        <f t="shared" si="63"/>
        <v>8.498125282537206</v>
      </c>
      <c r="O68" s="6">
        <f>MAX($O$3:$Q$34)/O33</f>
        <v>2.5223855032015274</v>
      </c>
      <c r="P68" s="6">
        <f>MAX($O$3:$Q$34)/P33</f>
        <v>12.647161347034039</v>
      </c>
      <c r="Q68" s="6">
        <f>MAX($O$3:$Q$34)/Q33</f>
        <v>8.4166864185826018</v>
      </c>
      <c r="S68" s="6">
        <f>MAX($S$3:$U$34)/S33</f>
        <v>2.544851847940008</v>
      </c>
      <c r="T68" s="6">
        <f>MAX($S$3:$U$34)/T33</f>
        <v>12.2997863829609</v>
      </c>
      <c r="U68" s="6">
        <f>MAX($S$3:$U$34)/U33</f>
        <v>8.5682085510298993</v>
      </c>
      <c r="W68" s="6">
        <f>MAX($W$3:$Y$34)/W33</f>
        <v>2.5226041965215029</v>
      </c>
      <c r="X68" s="6">
        <f>MAX($W$3:$Y$34)/X33</f>
        <v>12.717250784541367</v>
      </c>
      <c r="Y68" s="6">
        <f>MAX($W$3:$Y$34)/Y33</f>
        <v>8.5028964825278894</v>
      </c>
      <c r="AA68" s="6">
        <f>MAX($AA$3:$AC$34)/AA33</f>
        <v>2.580375903059609</v>
      </c>
      <c r="AB68" s="6">
        <f>MAX($AA$3:$AC$34)/AB33</f>
        <v>10.530286602334742</v>
      </c>
      <c r="AC68" s="6">
        <f>MAX($AA$3:$AC$34)/AC33</f>
        <v>8.6408357244007501</v>
      </c>
      <c r="AE68" s="6">
        <f>MAX($AE$3:$AG$34)/AE33</f>
        <v>1.4845035839315488</v>
      </c>
      <c r="AF68" s="6">
        <f>MAX($AE$3:$AG$34)/AF33</f>
        <v>7.3356628721146793</v>
      </c>
      <c r="AG68" s="6">
        <f>MAX($AE$3:$AG$34)/AG33</f>
        <v>4.514514432914055</v>
      </c>
      <c r="AI68" s="17">
        <f>MAX($AI$3:$AK$34)/AI33</f>
        <v>1.4826766169154229</v>
      </c>
      <c r="AJ68" s="17">
        <f>MAX($AI$3:$AK$34)/AJ33</f>
        <v>7.6155941593454051</v>
      </c>
      <c r="AK68" s="17">
        <f>MAX($AI$3:$AK$34)/AK33</f>
        <v>4.497020526602495</v>
      </c>
      <c r="AL68" s="16"/>
      <c r="AM68" s="6">
        <f>MAX($AM$3:$AO$34)/AM33</f>
        <v>1.4868745512315196</v>
      </c>
      <c r="AN68" s="6">
        <f t="shared" si="29"/>
        <v>6.2229308728656241</v>
      </c>
      <c r="AO68" s="6">
        <f>MAX($AM$3:$AO$34)/AO33</f>
        <v>4.5317726423996625</v>
      </c>
    </row>
    <row r="69" spans="7:41" x14ac:dyDescent="0.55000000000000004">
      <c r="G69" s="6">
        <f t="shared" ref="G69:I69" si="64">MAX($G$3:$I$34)/G34</f>
        <v>2.6304981475615787</v>
      </c>
      <c r="H69" s="6">
        <f t="shared" si="64"/>
        <v>8.934195045691169</v>
      </c>
      <c r="I69" s="6">
        <f t="shared" si="64"/>
        <v>11.192908775188791</v>
      </c>
      <c r="K69" s="6">
        <f t="shared" ref="K69:M69" si="65">MAX($K$3:$M$34)/K34</f>
        <v>2.6190525622778718</v>
      </c>
      <c r="L69" s="6">
        <f t="shared" si="65"/>
        <v>8.8410564269971683</v>
      </c>
      <c r="M69" s="6">
        <f t="shared" si="65"/>
        <v>10.91610363052988</v>
      </c>
      <c r="O69" s="6">
        <f>MAX($O$3:$Q$34)/O34</f>
        <v>3.0592990431499065</v>
      </c>
      <c r="P69" s="6">
        <f>MAX($O$3:$Q$34)/P34</f>
        <v>11.775506412321818</v>
      </c>
      <c r="Q69" s="6">
        <f>MAX($O$3:$Q$34)/Q34</f>
        <v>10.71230514465188</v>
      </c>
      <c r="S69" s="6">
        <f>MAX($S$3:$U$34)/S34</f>
        <v>3.0585485886886783</v>
      </c>
      <c r="T69" s="6">
        <f>MAX($S$3:$U$34)/T34</f>
        <v>11.422896264672417</v>
      </c>
      <c r="U69" s="6">
        <f>MAX($S$3:$U$34)/U34</f>
        <v>11.08294362899754</v>
      </c>
      <c r="W69" s="6">
        <f>MAX($W$3:$Y$34)/W34</f>
        <v>3.0489528763993046</v>
      </c>
      <c r="X69" s="6">
        <f>MAX($W$3:$Y$34)/X34</f>
        <v>11.697747621712367</v>
      </c>
      <c r="Y69" s="6">
        <f>MAX($W$3:$Y$34)/Y34</f>
        <v>10.923276898155406</v>
      </c>
      <c r="AA69" s="6">
        <f>MAX($AA$3:$AC$34)/AA34</f>
        <v>3.096060356507186</v>
      </c>
      <c r="AB69" s="6">
        <f>MAX($AA$3:$AC$34)/AB34</f>
        <v>10.184740149085474</v>
      </c>
      <c r="AC69" s="6">
        <f>MAX($AA$3:$AC$34)/AC34</f>
        <v>11.129307957486224</v>
      </c>
      <c r="AE69" s="6">
        <f>MAX($AE$3:$AG$34)/AE34</f>
        <v>1.5613722482858174</v>
      </c>
      <c r="AF69" s="6">
        <f>MAX($AE$3:$AG$34)/AF34</f>
        <v>5.8825716334280482</v>
      </c>
      <c r="AG69" s="6">
        <f>MAX($AE$3:$AG$34)/AG34</f>
        <v>5.0948968232793916</v>
      </c>
      <c r="AI69" s="17">
        <f>MAX($AI$3:$AK$34)/AI34</f>
        <v>1.5649246991115124</v>
      </c>
      <c r="AJ69" s="17">
        <f>MAX($AI$3:$AK$34)/AJ34</f>
        <v>6.0740417656865899</v>
      </c>
      <c r="AK69" s="17">
        <f>MAX($AI$3:$AK$34)/AK34</f>
        <v>5.0464824078056578</v>
      </c>
      <c r="AL69" s="16"/>
      <c r="AM69" s="6">
        <f>MAX($AM$3:$AO$34)/AM34</f>
        <v>1.5621679359022569</v>
      </c>
      <c r="AN69" s="6">
        <f t="shared" si="29"/>
        <v>5.2237325269231958</v>
      </c>
      <c r="AO69" s="6">
        <f>MAX($AM$3:$AO$34)/AO34</f>
        <v>5.1113929210353497</v>
      </c>
    </row>
    <row r="71" spans="7:41" x14ac:dyDescent="0.55000000000000004">
      <c r="O71" t="s">
        <v>6</v>
      </c>
      <c r="S71" t="s">
        <v>12</v>
      </c>
      <c r="W71" t="s">
        <v>13</v>
      </c>
      <c r="AA71" t="s">
        <v>14</v>
      </c>
      <c r="AE71" t="s">
        <v>12</v>
      </c>
      <c r="AI71" t="s">
        <v>13</v>
      </c>
      <c r="AM71" t="s">
        <v>14</v>
      </c>
    </row>
    <row r="79" spans="7:41" x14ac:dyDescent="0.55000000000000004">
      <c r="AH79" t="s">
        <v>0</v>
      </c>
      <c r="AI79" t="s">
        <v>18</v>
      </c>
    </row>
    <row r="80" spans="7:41" x14ac:dyDescent="0.55000000000000004">
      <c r="AH80">
        <v>1</v>
      </c>
      <c r="AI80">
        <v>1.8960179665481196</v>
      </c>
    </row>
    <row r="81" spans="34:35" x14ac:dyDescent="0.55000000000000004">
      <c r="AH81">
        <v>2</v>
      </c>
      <c r="AI81">
        <v>1.2737336091498128</v>
      </c>
    </row>
    <row r="82" spans="34:35" x14ac:dyDescent="0.55000000000000004">
      <c r="AH82">
        <v>3</v>
      </c>
      <c r="AI82">
        <v>1.2034081043429101</v>
      </c>
    </row>
    <row r="83" spans="34:35" x14ac:dyDescent="0.55000000000000004">
      <c r="AH83">
        <v>4</v>
      </c>
      <c r="AI83">
        <v>1.3581089702692357</v>
      </c>
    </row>
    <row r="84" spans="34:35" x14ac:dyDescent="0.55000000000000004">
      <c r="AH84">
        <v>5</v>
      </c>
      <c r="AI84">
        <v>1.2582987814661251</v>
      </c>
    </row>
    <row r="85" spans="34:35" x14ac:dyDescent="0.55000000000000004">
      <c r="AH85">
        <v>6</v>
      </c>
      <c r="AI85">
        <v>1.1874835635105951</v>
      </c>
    </row>
    <row r="86" spans="34:35" x14ac:dyDescent="0.55000000000000004">
      <c r="AH86">
        <v>7</v>
      </c>
      <c r="AI86">
        <v>1.4187347364311931</v>
      </c>
    </row>
    <row r="87" spans="34:35" x14ac:dyDescent="0.55000000000000004">
      <c r="AH87">
        <v>8</v>
      </c>
      <c r="AI87">
        <v>1.0832370110279952</v>
      </c>
    </row>
    <row r="88" spans="34:35" x14ac:dyDescent="0.55000000000000004">
      <c r="AH88">
        <v>9</v>
      </c>
      <c r="AI88">
        <v>1.1424091877884601</v>
      </c>
    </row>
    <row r="89" spans="34:35" x14ac:dyDescent="0.55000000000000004">
      <c r="AH89">
        <v>10</v>
      </c>
      <c r="AI89">
        <v>1.2531084041493044</v>
      </c>
    </row>
    <row r="90" spans="34:35" x14ac:dyDescent="0.55000000000000004">
      <c r="AH90">
        <v>11</v>
      </c>
      <c r="AI90">
        <v>1.3765202008304811</v>
      </c>
    </row>
    <row r="91" spans="34:35" x14ac:dyDescent="0.55000000000000004">
      <c r="AH91">
        <v>12</v>
      </c>
      <c r="AI91">
        <v>1.1032596020360943</v>
      </c>
    </row>
    <row r="92" spans="34:35" x14ac:dyDescent="0.55000000000000004">
      <c r="AH92">
        <v>13</v>
      </c>
      <c r="AI92">
        <v>1.1431936138463841</v>
      </c>
    </row>
    <row r="93" spans="34:35" x14ac:dyDescent="0.55000000000000004">
      <c r="AH93">
        <v>14</v>
      </c>
      <c r="AI93">
        <v>1.1862121121659004</v>
      </c>
    </row>
    <row r="94" spans="34:35" x14ac:dyDescent="0.55000000000000004">
      <c r="AH94">
        <v>15</v>
      </c>
      <c r="AI94">
        <v>1.1652024319199266</v>
      </c>
    </row>
    <row r="95" spans="34:35" x14ac:dyDescent="0.55000000000000004">
      <c r="AH95">
        <v>16</v>
      </c>
      <c r="AI95">
        <v>1.6248200811270554</v>
      </c>
    </row>
    <row r="96" spans="34:35" x14ac:dyDescent="0.55000000000000004">
      <c r="AH96">
        <v>17</v>
      </c>
      <c r="AI96">
        <v>1.1969026992943521</v>
      </c>
    </row>
    <row r="97" spans="34:35" x14ac:dyDescent="0.55000000000000004">
      <c r="AH97">
        <v>18</v>
      </c>
      <c r="AI97">
        <v>1.0823754163080153</v>
      </c>
    </row>
    <row r="98" spans="34:35" x14ac:dyDescent="0.55000000000000004">
      <c r="AH98">
        <v>19</v>
      </c>
      <c r="AI98">
        <v>1.1766159725841348</v>
      </c>
    </row>
    <row r="99" spans="34:35" x14ac:dyDescent="0.55000000000000004">
      <c r="AH99">
        <v>20</v>
      </c>
      <c r="AI99">
        <v>1.1030758411370618</v>
      </c>
    </row>
    <row r="100" spans="34:35" x14ac:dyDescent="0.55000000000000004">
      <c r="AH100">
        <v>21</v>
      </c>
      <c r="AI100">
        <v>1</v>
      </c>
    </row>
    <row r="101" spans="34:35" x14ac:dyDescent="0.55000000000000004">
      <c r="AH101">
        <v>22</v>
      </c>
      <c r="AI101">
        <v>1.030629995054658</v>
      </c>
    </row>
    <row r="102" spans="34:35" x14ac:dyDescent="0.55000000000000004">
      <c r="AH102">
        <v>23</v>
      </c>
      <c r="AI102">
        <v>2.0538659278709313</v>
      </c>
    </row>
    <row r="103" spans="34:35" x14ac:dyDescent="0.55000000000000004">
      <c r="AH103">
        <v>24</v>
      </c>
      <c r="AI103">
        <v>1.1221571226315632</v>
      </c>
    </row>
    <row r="104" spans="34:35" x14ac:dyDescent="0.55000000000000004">
      <c r="AH104">
        <v>25</v>
      </c>
      <c r="AI104">
        <v>1.1368224299065421</v>
      </c>
    </row>
    <row r="105" spans="34:35" x14ac:dyDescent="0.55000000000000004">
      <c r="AH105">
        <v>26</v>
      </c>
      <c r="AI105">
        <v>1.0004733497383147</v>
      </c>
    </row>
    <row r="106" spans="34:35" x14ac:dyDescent="0.55000000000000004">
      <c r="AH106">
        <v>27</v>
      </c>
      <c r="AI106">
        <v>1.0733740086296939</v>
      </c>
    </row>
    <row r="107" spans="34:35" x14ac:dyDescent="0.55000000000000004">
      <c r="AH107">
        <v>28</v>
      </c>
      <c r="AI107">
        <v>1.1220514983000818</v>
      </c>
    </row>
    <row r="108" spans="34:35" x14ac:dyDescent="0.55000000000000004">
      <c r="AH108">
        <v>29</v>
      </c>
      <c r="AI108">
        <v>1.1551801662118582</v>
      </c>
    </row>
    <row r="109" spans="34:35" x14ac:dyDescent="0.55000000000000004">
      <c r="AH109">
        <v>30</v>
      </c>
      <c r="AI109">
        <v>1.3215758618548838</v>
      </c>
    </row>
    <row r="110" spans="34:35" x14ac:dyDescent="0.55000000000000004">
      <c r="AH110">
        <v>31</v>
      </c>
      <c r="AI110">
        <v>1.4826766169154229</v>
      </c>
    </row>
    <row r="111" spans="34:35" x14ac:dyDescent="0.55000000000000004">
      <c r="AH111">
        <v>32</v>
      </c>
      <c r="AI111">
        <v>1.5649246991115124</v>
      </c>
    </row>
    <row r="112" spans="34:35" x14ac:dyDescent="0.55000000000000004">
      <c r="AH112">
        <v>33</v>
      </c>
      <c r="AI112">
        <v>1.5975491431113875</v>
      </c>
    </row>
    <row r="113" spans="34:35" x14ac:dyDescent="0.55000000000000004">
      <c r="AH113">
        <v>34</v>
      </c>
      <c r="AI113">
        <v>1.5313680251170296</v>
      </c>
    </row>
    <row r="114" spans="34:35" x14ac:dyDescent="0.55000000000000004">
      <c r="AH114">
        <v>35</v>
      </c>
      <c r="AI114">
        <v>1.2716628334179636</v>
      </c>
    </row>
    <row r="115" spans="34:35" x14ac:dyDescent="0.55000000000000004">
      <c r="AH115">
        <v>36</v>
      </c>
      <c r="AI115">
        <v>1.2733635276021193</v>
      </c>
    </row>
    <row r="116" spans="34:35" x14ac:dyDescent="0.55000000000000004">
      <c r="AH116">
        <v>37</v>
      </c>
      <c r="AI116">
        <v>1.3391058189170972</v>
      </c>
    </row>
    <row r="117" spans="34:35" x14ac:dyDescent="0.55000000000000004">
      <c r="AH117">
        <v>38</v>
      </c>
      <c r="AI117">
        <v>1.129797558571537</v>
      </c>
    </row>
    <row r="118" spans="34:35" x14ac:dyDescent="0.55000000000000004">
      <c r="AH118">
        <v>39</v>
      </c>
      <c r="AI118">
        <v>1.2577517989406823</v>
      </c>
    </row>
    <row r="119" spans="34:35" x14ac:dyDescent="0.55000000000000004">
      <c r="AH119">
        <v>40</v>
      </c>
      <c r="AI119">
        <v>1.3905281821575215</v>
      </c>
    </row>
    <row r="120" spans="34:35" x14ac:dyDescent="0.55000000000000004">
      <c r="AH120">
        <v>41</v>
      </c>
      <c r="AI120">
        <v>1.123265263046805</v>
      </c>
    </row>
    <row r="121" spans="34:35" x14ac:dyDescent="0.55000000000000004">
      <c r="AH121">
        <v>42</v>
      </c>
      <c r="AI121">
        <v>1.340051170675336</v>
      </c>
    </row>
    <row r="122" spans="34:35" x14ac:dyDescent="0.55000000000000004">
      <c r="AH122">
        <v>43</v>
      </c>
      <c r="AI122">
        <v>6.9135281222089473</v>
      </c>
    </row>
    <row r="123" spans="34:35" x14ac:dyDescent="0.55000000000000004">
      <c r="AH123">
        <v>44</v>
      </c>
      <c r="AI123">
        <v>1.2386193138130961</v>
      </c>
    </row>
    <row r="124" spans="34:35" x14ac:dyDescent="0.55000000000000004">
      <c r="AH124">
        <v>45</v>
      </c>
      <c r="AI124">
        <v>1.1643420302085532</v>
      </c>
    </row>
    <row r="125" spans="34:35" x14ac:dyDescent="0.55000000000000004">
      <c r="AH125">
        <v>46</v>
      </c>
      <c r="AI125">
        <v>1.1043921022205094</v>
      </c>
    </row>
    <row r="126" spans="34:35" x14ac:dyDescent="0.55000000000000004">
      <c r="AH126">
        <v>47</v>
      </c>
      <c r="AI126">
        <v>1.3230896272486725</v>
      </c>
    </row>
    <row r="127" spans="34:35" x14ac:dyDescent="0.55000000000000004">
      <c r="AH127">
        <v>48</v>
      </c>
      <c r="AI127">
        <v>2.012397782444578</v>
      </c>
    </row>
    <row r="128" spans="34:35" x14ac:dyDescent="0.55000000000000004">
      <c r="AH128">
        <v>49</v>
      </c>
      <c r="AI128">
        <v>3.9817066327484945</v>
      </c>
    </row>
    <row r="129" spans="34:35" x14ac:dyDescent="0.55000000000000004">
      <c r="AH129">
        <v>50</v>
      </c>
      <c r="AI129">
        <v>3.667823561266184</v>
      </c>
    </row>
    <row r="130" spans="34:35" x14ac:dyDescent="0.55000000000000004">
      <c r="AH130">
        <v>51</v>
      </c>
      <c r="AI130">
        <v>4.2331681361122833</v>
      </c>
    </row>
    <row r="131" spans="34:35" x14ac:dyDescent="0.55000000000000004">
      <c r="AH131">
        <v>52</v>
      </c>
      <c r="AI131">
        <v>3.6933422232577278</v>
      </c>
    </row>
    <row r="132" spans="34:35" x14ac:dyDescent="0.55000000000000004">
      <c r="AH132">
        <v>53</v>
      </c>
      <c r="AI132">
        <v>3.6142012551920688</v>
      </c>
    </row>
    <row r="133" spans="34:35" x14ac:dyDescent="0.55000000000000004">
      <c r="AH133">
        <v>54</v>
      </c>
      <c r="AI133">
        <v>3.756540460413119</v>
      </c>
    </row>
    <row r="134" spans="34:35" x14ac:dyDescent="0.55000000000000004">
      <c r="AH134">
        <v>55</v>
      </c>
      <c r="AI134">
        <v>6.0025096225696846</v>
      </c>
    </row>
    <row r="135" spans="34:35" x14ac:dyDescent="0.55000000000000004">
      <c r="AH135">
        <v>56</v>
      </c>
      <c r="AI135">
        <v>3.2593177500691741</v>
      </c>
    </row>
    <row r="136" spans="34:35" x14ac:dyDescent="0.55000000000000004">
      <c r="AH136">
        <v>57</v>
      </c>
      <c r="AI136">
        <v>3.2763164114848844</v>
      </c>
    </row>
    <row r="137" spans="34:35" x14ac:dyDescent="0.55000000000000004">
      <c r="AH137">
        <v>58</v>
      </c>
      <c r="AI137">
        <v>3.4000175694993491</v>
      </c>
    </row>
    <row r="138" spans="34:35" x14ac:dyDescent="0.55000000000000004">
      <c r="AH138">
        <v>59</v>
      </c>
      <c r="AI138">
        <v>4.4599185290939731</v>
      </c>
    </row>
    <row r="139" spans="34:35" x14ac:dyDescent="0.55000000000000004">
      <c r="AH139">
        <v>60</v>
      </c>
      <c r="AI139">
        <v>4.2957982999468101</v>
      </c>
    </row>
    <row r="140" spans="34:35" x14ac:dyDescent="0.55000000000000004">
      <c r="AH140">
        <v>61</v>
      </c>
      <c r="AI140">
        <v>3.8499439337332899</v>
      </c>
    </row>
    <row r="141" spans="34:35" x14ac:dyDescent="0.55000000000000004">
      <c r="AH141">
        <v>62</v>
      </c>
      <c r="AI141">
        <v>5.792729979843295</v>
      </c>
    </row>
    <row r="142" spans="34:35" x14ac:dyDescent="0.55000000000000004">
      <c r="AH142">
        <v>63</v>
      </c>
      <c r="AI142">
        <v>7.6155941593454051</v>
      </c>
    </row>
    <row r="143" spans="34:35" x14ac:dyDescent="0.55000000000000004">
      <c r="AH143">
        <v>64</v>
      </c>
      <c r="AI143">
        <v>6.0740417656865899</v>
      </c>
    </row>
    <row r="144" spans="34:35" x14ac:dyDescent="0.55000000000000004">
      <c r="AH144">
        <v>65</v>
      </c>
      <c r="AI144">
        <v>4.1823507040099024</v>
      </c>
    </row>
    <row r="145" spans="34:35" x14ac:dyDescent="0.55000000000000004">
      <c r="AH145">
        <v>66</v>
      </c>
      <c r="AI145">
        <v>4.0844190196341792</v>
      </c>
    </row>
    <row r="146" spans="34:35" x14ac:dyDescent="0.55000000000000004">
      <c r="AH146">
        <v>67</v>
      </c>
      <c r="AI146">
        <v>3.6786759541452345</v>
      </c>
    </row>
    <row r="147" spans="34:35" x14ac:dyDescent="0.55000000000000004">
      <c r="AH147">
        <v>68</v>
      </c>
      <c r="AI147">
        <v>3.4465857731682155</v>
      </c>
    </row>
    <row r="148" spans="34:35" x14ac:dyDescent="0.55000000000000004">
      <c r="AH148">
        <v>69</v>
      </c>
      <c r="AI148">
        <v>3.1038594890605977</v>
      </c>
    </row>
    <row r="149" spans="34:35" x14ac:dyDescent="0.55000000000000004">
      <c r="AH149">
        <v>70</v>
      </c>
      <c r="AI149">
        <v>2.6977523106029744</v>
      </c>
    </row>
    <row r="150" spans="34:35" x14ac:dyDescent="0.55000000000000004">
      <c r="AH150">
        <v>71</v>
      </c>
      <c r="AI150">
        <v>2.5796170625302959</v>
      </c>
    </row>
    <row r="151" spans="34:35" x14ac:dyDescent="0.55000000000000004">
      <c r="AH151">
        <v>72</v>
      </c>
      <c r="AI151">
        <v>2.7400426611746536</v>
      </c>
    </row>
    <row r="152" spans="34:35" x14ac:dyDescent="0.55000000000000004">
      <c r="AH152">
        <v>73</v>
      </c>
      <c r="AI152">
        <v>2.6281869251188343</v>
      </c>
    </row>
    <row r="153" spans="34:35" x14ac:dyDescent="0.55000000000000004">
      <c r="AH153">
        <v>74</v>
      </c>
      <c r="AI153">
        <v>2.5677261487295695</v>
      </c>
    </row>
    <row r="154" spans="34:35" x14ac:dyDescent="0.55000000000000004">
      <c r="AH154">
        <v>75</v>
      </c>
      <c r="AI154">
        <v>2.3138941729104392</v>
      </c>
    </row>
    <row r="155" spans="34:35" x14ac:dyDescent="0.55000000000000004">
      <c r="AH155">
        <v>76</v>
      </c>
      <c r="AI155">
        <v>2.5590829075608603</v>
      </c>
    </row>
    <row r="156" spans="34:35" x14ac:dyDescent="0.55000000000000004">
      <c r="AH156">
        <v>77</v>
      </c>
      <c r="AI156">
        <v>2.5705167461638649</v>
      </c>
    </row>
    <row r="157" spans="34:35" x14ac:dyDescent="0.55000000000000004">
      <c r="AH157">
        <v>78</v>
      </c>
      <c r="AI157">
        <v>3.4838222469530087</v>
      </c>
    </row>
    <row r="158" spans="34:35" x14ac:dyDescent="0.55000000000000004">
      <c r="AH158">
        <v>79</v>
      </c>
      <c r="AI158">
        <v>3.6136096324768707</v>
      </c>
    </row>
    <row r="159" spans="34:35" x14ac:dyDescent="0.55000000000000004">
      <c r="AH159">
        <v>80</v>
      </c>
      <c r="AI159">
        <v>6.1147576301615798</v>
      </c>
    </row>
    <row r="160" spans="34:35" x14ac:dyDescent="0.55000000000000004">
      <c r="AH160">
        <v>81</v>
      </c>
      <c r="AI160">
        <v>4.4732805177884716</v>
      </c>
    </row>
    <row r="161" spans="34:35" x14ac:dyDescent="0.55000000000000004">
      <c r="AH161">
        <v>82</v>
      </c>
      <c r="AI161">
        <v>4.6659433325661608</v>
      </c>
    </row>
    <row r="162" spans="34:35" x14ac:dyDescent="0.55000000000000004">
      <c r="AH162">
        <v>83</v>
      </c>
      <c r="AI162">
        <v>4.3592826633900881</v>
      </c>
    </row>
    <row r="163" spans="34:35" x14ac:dyDescent="0.55000000000000004">
      <c r="AH163">
        <v>84</v>
      </c>
      <c r="AI163">
        <v>3.4724117239249863</v>
      </c>
    </row>
    <row r="164" spans="34:35" x14ac:dyDescent="0.55000000000000004">
      <c r="AH164">
        <v>85</v>
      </c>
      <c r="AI164">
        <v>3.3757657314774541</v>
      </c>
    </row>
    <row r="165" spans="34:35" x14ac:dyDescent="0.55000000000000004">
      <c r="AH165">
        <v>86</v>
      </c>
      <c r="AI165">
        <v>3.2683934732589179</v>
      </c>
    </row>
    <row r="166" spans="34:35" x14ac:dyDescent="0.55000000000000004">
      <c r="AH166">
        <v>87</v>
      </c>
      <c r="AI166">
        <v>3.4495738644584555</v>
      </c>
    </row>
    <row r="167" spans="34:35" x14ac:dyDescent="0.55000000000000004">
      <c r="AH167">
        <v>88</v>
      </c>
      <c r="AI167">
        <v>3.7460483462446876</v>
      </c>
    </row>
    <row r="168" spans="34:35" x14ac:dyDescent="0.55000000000000004">
      <c r="AH168">
        <v>89</v>
      </c>
      <c r="AI168">
        <v>4.0938056768588948</v>
      </c>
    </row>
    <row r="169" spans="34:35" x14ac:dyDescent="0.55000000000000004">
      <c r="AH169">
        <v>90</v>
      </c>
      <c r="AI169">
        <v>3.3380114941627528</v>
      </c>
    </row>
    <row r="170" spans="34:35" x14ac:dyDescent="0.55000000000000004">
      <c r="AH170">
        <v>91</v>
      </c>
      <c r="AI170">
        <v>3.4123351901574961</v>
      </c>
    </row>
    <row r="171" spans="34:35" x14ac:dyDescent="0.55000000000000004">
      <c r="AH171">
        <v>92</v>
      </c>
      <c r="AI171">
        <v>3.0701223029883464</v>
      </c>
    </row>
    <row r="172" spans="34:35" x14ac:dyDescent="0.55000000000000004">
      <c r="AH172">
        <v>93</v>
      </c>
      <c r="AI172">
        <v>3.6962464280044451</v>
      </c>
    </row>
    <row r="173" spans="34:35" x14ac:dyDescent="0.55000000000000004">
      <c r="AH173">
        <v>94</v>
      </c>
      <c r="AI173">
        <v>4.4315273719507209</v>
      </c>
    </row>
    <row r="174" spans="34:35" x14ac:dyDescent="0.55000000000000004">
      <c r="AH174">
        <v>95</v>
      </c>
      <c r="AI174">
        <v>4.497020526602495</v>
      </c>
    </row>
    <row r="175" spans="34:35" x14ac:dyDescent="0.55000000000000004">
      <c r="AH175">
        <v>96</v>
      </c>
      <c r="AI175">
        <v>5.0464824078056578</v>
      </c>
    </row>
  </sheetData>
  <mergeCells count="19">
    <mergeCell ref="AE1:AG1"/>
    <mergeCell ref="AJ1:AL1"/>
    <mergeCell ref="AM1:AO1"/>
    <mergeCell ref="AE36:AG36"/>
    <mergeCell ref="S1:U1"/>
    <mergeCell ref="S36:U36"/>
    <mergeCell ref="W36:Y36"/>
    <mergeCell ref="AA36:AC36"/>
    <mergeCell ref="AI36:AK36"/>
    <mergeCell ref="AM36:AO36"/>
    <mergeCell ref="W1:Y1"/>
    <mergeCell ref="AA1:AC1"/>
    <mergeCell ref="A1:D1"/>
    <mergeCell ref="G1:I1"/>
    <mergeCell ref="G36:I36"/>
    <mergeCell ref="K1:M1"/>
    <mergeCell ref="K36:M36"/>
    <mergeCell ref="O1:Q1"/>
    <mergeCell ref="O36:Q3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MT_relative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博士 田辺</dc:creator>
  <cp:lastModifiedBy>田辺博士</cp:lastModifiedBy>
  <dcterms:created xsi:type="dcterms:W3CDTF">2024-06-10T13:41:40Z</dcterms:created>
  <dcterms:modified xsi:type="dcterms:W3CDTF">2024-06-10T15:16:00Z</dcterms:modified>
</cp:coreProperties>
</file>